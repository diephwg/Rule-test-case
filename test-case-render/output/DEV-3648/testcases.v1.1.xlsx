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RTM" sheetId="3" state="visible" r:id="rId3"/>
    <sheet name="Conditions" sheetId="4" state="visible" r:id="rId4"/>
  </sheets>
  <definedNames>
    <definedName name="_xlnm._FilterDatabase" localSheetId="0" hidden="1">'Test Cases'!$A$1:$T$40</definedName>
    <definedName name="_xlnm.Print_Titles" localSheetId="0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5" customWidth="1" min="4" max="4"/>
    <col width="13" customWidth="1" min="5" max="5"/>
    <col width="11" customWidth="1" min="6" max="6"/>
    <col width="10" customWidth="1" min="7" max="7"/>
    <col width="9" customWidth="1" min="8" max="8"/>
    <col width="35" customWidth="1" min="9" max="9"/>
    <col width="30" customWidth="1" min="10" max="10"/>
    <col width="50" customWidth="1" min="11" max="11"/>
    <col width="50" customWidth="1" min="12" max="12"/>
    <col width="12" customWidth="1" min="13" max="13"/>
    <col width="11" customWidth="1" min="14" max="14"/>
    <col width="30" customWidth="1" min="15" max="15"/>
    <col width="16" customWidth="1" min="16" max="16"/>
    <col width="35" customWidth="1" min="17" max="17"/>
    <col width="12" customWidth="1" min="18" max="18"/>
    <col width="14" customWidth="1" min="19" max="19"/>
    <col width="14" customWidth="1" min="20" max="2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Req_ID</t>
        </is>
      </c>
      <c r="D1" s="1" t="inlineStr">
        <is>
          <t>Title</t>
        </is>
      </c>
      <c r="E1" s="1" t="inlineStr">
        <is>
          <t>Test_Type</t>
        </is>
      </c>
      <c r="F1" s="1" t="inlineStr">
        <is>
          <t>Scenario</t>
        </is>
      </c>
      <c r="G1" s="1" t="inlineStr">
        <is>
          <t>Technique</t>
        </is>
      </c>
      <c r="H1" s="1" t="inlineStr">
        <is>
          <t>Priority</t>
        </is>
      </c>
      <c r="I1" s="1" t="inlineStr">
        <is>
          <t>Preconditions</t>
        </is>
      </c>
      <c r="J1" s="1" t="inlineStr">
        <is>
          <t>Test_Data</t>
        </is>
      </c>
      <c r="K1" s="1" t="inlineStr">
        <is>
          <t>Steps</t>
        </is>
      </c>
      <c r="L1" s="1" t="inlineStr">
        <is>
          <t>Expected_Result</t>
        </is>
      </c>
      <c r="M1" s="1" t="inlineStr">
        <is>
          <t>Automation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Design_Status</t>
        </is>
      </c>
      <c r="Q1" s="2" t="inlineStr">
        <is>
          <t>Actual_Result</t>
        </is>
      </c>
      <c r="R1" s="2" t="inlineStr">
        <is>
          <t>Bug_ID</t>
        </is>
      </c>
      <c r="S1" s="2" t="inlineStr">
        <is>
          <t>Tester</t>
        </is>
      </c>
      <c r="T1" s="2" t="inlineStr">
        <is>
          <t>Executed_Date</t>
        </is>
      </c>
    </row>
    <row r="2">
      <c r="A2" s="3" t="inlineStr">
        <is>
          <t>TC-CART-001</t>
        </is>
      </c>
      <c r="B2" s="3" t="inlineStr">
        <is>
          <t>Giỏ hàng</t>
        </is>
      </c>
      <c r="C2" s="3" t="inlineStr">
        <is>
          <t>AC01</t>
        </is>
      </c>
      <c r="D2" s="3" t="inlineStr">
        <is>
          <t>Kiểm tra sản phẩm còn hàng cho phép tick và bỏ tick trong Cart</t>
        </is>
      </c>
      <c r="E2" s="3" t="inlineStr">
        <is>
          <t>Functional</t>
        </is>
      </c>
      <c r="F2" s="3" t="inlineStr">
        <is>
          <t>Positive</t>
        </is>
      </c>
      <c r="G2" s="3" t="inlineStr">
        <is>
          <t>ST</t>
        </is>
      </c>
      <c r="H2" s="4" t="inlineStr">
        <is>
          <t>P1</t>
        </is>
      </c>
      <c r="I2" s="3" t="inlineStr">
        <is>
          <t>1. Theo SETUP-01 (customer01@test.com đã đăng nhập); thay đổi tồn kho theo SETUP-02
2. Cart có SP-A và SP-C, cả hai còn hàng (Saleable Qty = 10), qty = 1</t>
        </is>
      </c>
      <c r="J2" s="3" t="inlineStr">
        <is>
          <t>SP-A, SP-C (Saleable Qty = 10)</t>
        </is>
      </c>
      <c r="K2" s="3" t="inlineStr">
        <is>
          <t>1. Truy cập trang "Giỏ hàng"
2. Quan sát checkbox của SP-A và SP-C
3. Bỏ tick SP-A
4. Tick lại SP-A</t>
        </is>
      </c>
      <c r="L2" s="3" t="inlineStr">
        <is>
          <t>1. Trang Giỏ hàng hiển thị SP-A, SP-C
2. Checkbox của SP-A và SP-C ở trạng thái Enable, đang được tick
3. Checkbox SP-A chuyển sang bỏ tick
4. Checkbox SP-A chuyển sang được tick</t>
        </is>
      </c>
      <c r="M2" s="3" t="inlineStr">
        <is>
          <t>Candidate</t>
        </is>
      </c>
      <c r="N2" s="3" t="inlineStr">
        <is>
          <t>Not Run</t>
        </is>
      </c>
      <c r="O2" s="3" t="inlineStr">
        <is>
          <t>[Giả định AS-02] [Cần xác nhận Q-02] trạng thái tick mặc định</t>
        </is>
      </c>
      <c r="P2" s="5" t="inlineStr">
        <is>
          <t>Needs Clarification (Q-02, AS-02)</t>
        </is>
      </c>
      <c r="Q2" s="3" t="inlineStr"/>
      <c r="R2" s="3" t="inlineStr"/>
      <c r="S2" s="3" t="inlineStr"/>
      <c r="T2" s="3" t="inlineStr"/>
    </row>
    <row r="3">
      <c r="A3" s="3" t="inlineStr">
        <is>
          <t>TC-CART-002</t>
        </is>
      </c>
      <c r="B3" s="3" t="inlineStr">
        <is>
          <t>Giỏ hàng</t>
        </is>
      </c>
      <c r="C3" s="3" t="inlineStr">
        <is>
          <t>AC01</t>
        </is>
      </c>
      <c r="D3" s="3" t="inlineStr">
        <is>
          <t>Kiểm tra chỉ sản phẩm được tick được chuyển sang Checkout khi Cart toàn sản phẩm còn hàng</t>
        </is>
      </c>
      <c r="E3" s="3" t="inlineStr">
        <is>
          <t>Functional</t>
        </is>
      </c>
      <c r="F3" s="3" t="inlineStr">
        <is>
          <t>Positive</t>
        </is>
      </c>
      <c r="G3" s="3" t="inlineStr">
        <is>
          <t>UC</t>
        </is>
      </c>
      <c r="H3" s="4" t="inlineStr">
        <is>
          <t>P1</t>
        </is>
      </c>
      <c r="I3" s="3" t="inlineStr">
        <is>
          <t>1. Theo SETUP-01 (customer01@test.com đã đăng nhập); thay đổi tồn kho theo SETUP-02
2. Cart có SP-A và SP-C còn hàng, qty = 1
3. Đang ở trang Giỏ hàng, SP-A và SP-C đang được tick</t>
        </is>
      </c>
      <c r="J3" s="3" t="inlineStr">
        <is>
          <t>SP-A, SP-C</t>
        </is>
      </c>
      <c r="K3" s="3" t="inlineStr">
        <is>
          <t>1. Bỏ tick SP-C
2. Nhấn nút "Mua hàng"</t>
        </is>
      </c>
      <c r="L3" s="3" t="inlineStr">
        <is>
          <t>1. Nút "Mua hàng" vẫn Enable
2. Chuyển tới trang Checkout; danh sách sản phẩm chỉ có SP-A (qty 1, 15.780.000 ₫), không có SP-C</t>
        </is>
      </c>
      <c r="M3" s="3" t="inlineStr">
        <is>
          <t>Candidate</t>
        </is>
      </c>
      <c r="N3" s="3" t="inlineStr">
        <is>
          <t>Not Run</t>
        </is>
      </c>
      <c r="O3" s="3" t="inlineStr"/>
      <c r="P3" s="3" t="inlineStr">
        <is>
          <t>Ready</t>
        </is>
      </c>
      <c r="Q3" s="3" t="inlineStr"/>
      <c r="R3" s="3" t="inlineStr"/>
      <c r="S3" s="3" t="inlineStr"/>
      <c r="T3" s="3" t="inlineStr"/>
    </row>
    <row r="4">
      <c r="A4" s="3" t="inlineStr">
        <is>
          <t>TC-CART-003</t>
        </is>
      </c>
      <c r="B4" s="3" t="inlineStr">
        <is>
          <t>Giỏ hàng</t>
        </is>
      </c>
      <c r="C4" s="3" t="inlineStr">
        <is>
          <t>AC01;BR-01</t>
        </is>
      </c>
      <c r="D4" s="3" t="inlineStr">
        <is>
          <t>Kiểm tra checkout được với tất cả sản phẩm còn hàng được tick</t>
        </is>
      </c>
      <c r="E4" s="3" t="inlineStr">
        <is>
          <t>Functional</t>
        </is>
      </c>
      <c r="F4" s="3" t="inlineStr">
        <is>
          <t>Positive</t>
        </is>
      </c>
      <c r="G4" s="3" t="inlineStr">
        <is>
          <t>UC</t>
        </is>
      </c>
      <c r="H4" s="6" t="inlineStr">
        <is>
          <t>P2</t>
        </is>
      </c>
      <c r="I4" s="3" t="inlineStr">
        <is>
          <t>1. Theo SETUP-01 (customer01@test.com đã đăng nhập); thay đổi tồn kho theo SETUP-02
2. Cart có SP-A và SP-C còn hàng, qty = 1
3. Đang ở trang Giỏ hàng, SP-A và SP-C đang được tick</t>
        </is>
      </c>
      <c r="J4" s="3" t="inlineStr">
        <is>
          <t>SP-A, SP-C</t>
        </is>
      </c>
      <c r="K4" s="3" t="inlineStr">
        <is>
          <t>1. Nhấn nút "Mua hàng"</t>
        </is>
      </c>
      <c r="L4" s="3" t="inlineStr">
        <is>
          <t>1. Chuyển tới trang Checkout; danh sách có đủ SP-A và SP-C với đúng qty 1</t>
        </is>
      </c>
      <c r="M4" s="3" t="inlineStr">
        <is>
          <t>Candidate</t>
        </is>
      </c>
      <c r="N4" s="3" t="inlineStr">
        <is>
          <t>Not Run</t>
        </is>
      </c>
      <c r="O4" s="3" t="inlineStr"/>
      <c r="P4" s="3" t="inlineStr">
        <is>
          <t>Ready</t>
        </is>
      </c>
      <c r="Q4" s="3" t="inlineStr"/>
      <c r="R4" s="3" t="inlineStr"/>
      <c r="S4" s="3" t="inlineStr"/>
      <c r="T4" s="3" t="inlineStr"/>
    </row>
    <row r="5">
      <c r="A5" s="3" t="inlineStr">
        <is>
          <t>TC-CART-004</t>
        </is>
      </c>
      <c r="B5" s="3" t="inlineStr">
        <is>
          <t>Giỏ hàng</t>
        </is>
      </c>
      <c r="C5" s="3" t="inlineStr">
        <is>
          <t>AC02;BR-02</t>
        </is>
      </c>
      <c r="D5" s="3" t="inlineStr">
        <is>
          <t>Kiểm tra sản phẩm hết hàng tự bỏ tick, checkbox bị Disable và hiển thị thông báo khi vào Cart</t>
        </is>
      </c>
      <c r="E5" s="3" t="inlineStr">
        <is>
          <t>Functional</t>
        </is>
      </c>
      <c r="F5" s="3" t="inlineStr">
        <is>
          <t>Positive</t>
        </is>
      </c>
      <c r="G5" s="3" t="inlineStr">
        <is>
          <t>ST</t>
        </is>
      </c>
      <c r="H5" s="4" t="inlineStr">
        <is>
          <t>P1</t>
        </is>
      </c>
      <c r="I5" s="3" t="inlineStr">
        <is>
          <t>1. Theo SETUP-01 (customer01@test.com đã đăng nhập); thay đổi tồn kho theo SETUP-02
2. Cart có SP-A (còn hàng) và SP-B
3. Admin đã cập nhật Saleable Qty của SP-B = 0</t>
        </is>
      </c>
      <c r="J5" s="3" t="inlineStr">
        <is>
          <t>SP-A (Saleable Qty = 10); SP-B (Saleable Qty = 0)</t>
        </is>
      </c>
      <c r="K5" s="3" t="inlineStr">
        <is>
          <t>1. Truy cập trang "Giỏ hàng"
2. Quan sát dòng SP-B</t>
        </is>
      </c>
      <c r="L5" s="3" t="inlineStr">
        <is>
          <t>1. SP-B vẫn hiển thị trong Cart
2. Checkbox SP-B bỏ tick và bị Disable; bên dưới SP-B hiển thị thông báo "Sản phẩm hiện đang hết hàng"</t>
        </is>
      </c>
      <c r="M5" s="3" t="inlineStr">
        <is>
          <t>Candidate</t>
        </is>
      </c>
      <c r="N5" s="3" t="inlineStr">
        <is>
          <t>Not Run</t>
        </is>
      </c>
      <c r="O5" s="3" t="inlineStr">
        <is>
          <t>[Giả định AS-01] [Cần xác nhận Q-01] câu thông báo</t>
        </is>
      </c>
      <c r="P5" s="5" t="inlineStr">
        <is>
          <t>Needs Clarification (Q-01, AS-01)</t>
        </is>
      </c>
      <c r="Q5" s="3" t="inlineStr"/>
      <c r="R5" s="3" t="inlineStr"/>
      <c r="S5" s="3" t="inlineStr"/>
      <c r="T5" s="3" t="inlineStr"/>
    </row>
    <row r="6">
      <c r="A6" s="3" t="inlineStr">
        <is>
          <t>TC-CART-005</t>
        </is>
      </c>
      <c r="B6" s="3" t="inlineStr">
        <is>
          <t>Giỏ hàng</t>
        </is>
      </c>
      <c r="C6" s="3" t="inlineStr">
        <is>
          <t>AC02;AC03;AC04</t>
        </is>
      </c>
      <c r="D6" s="3" t="inlineStr">
        <is>
          <t>Kiểm tra không thể tick sản phẩm hết hàng</t>
        </is>
      </c>
      <c r="E6" s="3" t="inlineStr">
        <is>
          <t>Functional</t>
        </is>
      </c>
      <c r="F6" s="3" t="inlineStr">
        <is>
          <t>Negative</t>
        </is>
      </c>
      <c r="G6" s="3" t="inlineStr">
        <is>
          <t>ST</t>
        </is>
      </c>
      <c r="H6" s="6" t="inlineStr">
        <is>
          <t>P2</t>
        </is>
      </c>
      <c r="I6" s="3" t="inlineStr">
        <is>
          <t>1. Theo SETUP-01 (customer01@test.com đã đăng nhập); thay đổi tồn kho theo SETUP-02
2. Cart có SP-A (còn hàng) và SP-B (Saleable Qty = 0)
3. Đang ở trang Giỏ hàng</t>
        </is>
      </c>
      <c r="J6" s="3" t="inlineStr">
        <is>
          <t>SP-B (Saleable Qty = 0)</t>
        </is>
      </c>
      <c r="K6" s="3" t="inlineStr">
        <is>
          <t>1. Click vào checkbox của SP-B
2. Click vào ảnh / tên của SP-B rồi quay lại Giỏ hàng</t>
        </is>
      </c>
      <c r="L6" s="3" t="inlineStr">
        <is>
          <t>1. Checkbox SP-B không đổi trạng thái, vẫn bỏ tick
2. Quay lại Giỏ hàng, checkbox SP-B vẫn bỏ tick và Disable</t>
        </is>
      </c>
      <c r="M6" s="3" t="inlineStr">
        <is>
          <t>Candidate</t>
        </is>
      </c>
      <c r="N6" s="3" t="inlineStr">
        <is>
          <t>Not Run</t>
        </is>
      </c>
      <c r="O6" s="3" t="inlineStr">
        <is>
          <t>DT1-R4</t>
        </is>
      </c>
      <c r="P6" s="3" t="inlineStr">
        <is>
          <t>Ready</t>
        </is>
      </c>
      <c r="Q6" s="3" t="inlineStr"/>
      <c r="R6" s="3" t="inlineStr"/>
      <c r="S6" s="3" t="inlineStr"/>
      <c r="T6" s="3" t="inlineStr"/>
    </row>
    <row r="7">
      <c r="A7" s="3" t="inlineStr">
        <is>
          <t>TC-CART-006</t>
        </is>
      </c>
      <c r="B7" s="3" t="inlineStr">
        <is>
          <t>Giỏ hàng</t>
        </is>
      </c>
      <c r="C7" s="3" t="inlineStr">
        <is>
          <t>AC02;AC09</t>
        </is>
      </c>
      <c r="D7" s="3" t="inlineStr">
        <is>
          <t>Kiểm tra sản phẩm hết hàng không được đưa vào Checkout</t>
        </is>
      </c>
      <c r="E7" s="3" t="inlineStr">
        <is>
          <t>Functional</t>
        </is>
      </c>
      <c r="F7" s="3" t="inlineStr">
        <is>
          <t>Negative</t>
        </is>
      </c>
      <c r="G7" s="3" t="inlineStr">
        <is>
          <t>UC</t>
        </is>
      </c>
      <c r="H7" s="4" t="inlineStr">
        <is>
          <t>P1</t>
        </is>
      </c>
      <c r="I7" s="3" t="inlineStr">
        <is>
          <t>1. Theo SETUP-01 (customer01@test.com đã đăng nhập); thay đổi tồn kho theo SETUP-02
2. Cart có SP-A (còn hàng) và SP-B (Saleable Qty = 0)
3. Đang ở trang Giỏ hàng, SP-A đang được tick</t>
        </is>
      </c>
      <c r="J7" s="3" t="inlineStr">
        <is>
          <t>SP-A; SP-B (Saleable Qty = 0)</t>
        </is>
      </c>
      <c r="K7" s="3" t="inlineStr">
        <is>
          <t>1. Nhấn nút "Mua hàng"</t>
        </is>
      </c>
      <c r="L7" s="3" t="inlineStr">
        <is>
          <t>1. Chuyển tới trang Checkout; danh sách chỉ có SP-A, không có SP-B; tổng tiền không bao gồm 36.280.000 ₫ của SP-B</t>
        </is>
      </c>
      <c r="M7" s="3" t="inlineStr">
        <is>
          <t>Candidate</t>
        </is>
      </c>
      <c r="N7" s="3" t="inlineStr">
        <is>
          <t>Not Run</t>
        </is>
      </c>
      <c r="O7" s="3" t="inlineStr"/>
      <c r="P7" s="3" t="inlineStr">
        <is>
          <t>Ready</t>
        </is>
      </c>
      <c r="Q7" s="3" t="inlineStr"/>
      <c r="R7" s="3" t="inlineStr"/>
      <c r="S7" s="3" t="inlineStr"/>
      <c r="T7" s="3" t="inlineStr"/>
    </row>
    <row r="8">
      <c r="A8" s="3" t="inlineStr">
        <is>
          <t>TC-CART-007</t>
        </is>
      </c>
      <c r="B8" s="3" t="inlineStr">
        <is>
          <t>Giỏ hàng</t>
        </is>
      </c>
      <c r="C8" s="3" t="inlineStr">
        <is>
          <t>AC02;BR-02</t>
        </is>
      </c>
      <c r="D8" s="3" t="inlineStr">
        <is>
          <t>Kiểm tra sản phẩm đang được tick chuyển sang hết hàng thì tự bỏ tick sau khi tải lại Cart</t>
        </is>
      </c>
      <c r="E8" s="3" t="inlineStr">
        <is>
          <t>Functional</t>
        </is>
      </c>
      <c r="F8" s="3" t="inlineStr">
        <is>
          <t>Edge</t>
        </is>
      </c>
      <c r="G8" s="3" t="inlineStr">
        <is>
          <t>ST</t>
        </is>
      </c>
      <c r="H8" s="6" t="inlineStr">
        <is>
          <t>P2</t>
        </is>
      </c>
      <c r="I8" s="3" t="inlineStr">
        <is>
          <t>1. Theo SETUP-01 (customer01@test.com đã đăng nhập); thay đổi tồn kho theo SETUP-02
2. Cart có SP-A và SP-C còn hàng, cả hai đang được tick
3. Đang mở trang Giỏ hàng</t>
        </is>
      </c>
      <c r="J8" s="3" t="inlineStr">
        <is>
          <t>SP-C: Saleable Qty 10 → 0</t>
        </is>
      </c>
      <c r="K8" s="3" t="inlineStr">
        <is>
          <t>1. Admin cập nhật Saleable Qty của SP-C = 0
2. Khách hàng tải lại trang Giỏ hàng (F5)</t>
        </is>
      </c>
      <c r="L8" s="3" t="inlineStr">
        <is>
          <t>2. SP-C bỏ tick, checkbox Disable, hiển thị thông báo "Sản phẩm hiện đang hết hàng"; SP-A vẫn được tick; nút "Mua hàng" vẫn Enable</t>
        </is>
      </c>
      <c r="M8" s="3" t="inlineStr">
        <is>
          <t>Candidate</t>
        </is>
      </c>
      <c r="N8" s="3" t="inlineStr">
        <is>
          <t>Not Run</t>
        </is>
      </c>
      <c r="O8" s="3" t="inlineStr">
        <is>
          <t>[Giả định AS-03] [Cần xác nhận Q-04] thời điểm hệ thống phát hiện [Giả định AS-01] câu thông báo hết hàng</t>
        </is>
      </c>
      <c r="P8" s="5" t="inlineStr">
        <is>
          <t>Needs Clarification (Q-04, AS-01, AS-03)</t>
        </is>
      </c>
      <c r="Q8" s="3" t="inlineStr"/>
      <c r="R8" s="3" t="inlineStr"/>
      <c r="S8" s="3" t="inlineStr"/>
      <c r="T8" s="3" t="inlineStr"/>
    </row>
    <row r="9">
      <c r="A9" s="3" t="inlineStr">
        <is>
          <t>TC-CART-008</t>
        </is>
      </c>
      <c r="B9" s="3" t="inlineStr">
        <is>
          <t>Giỏ hàng</t>
        </is>
      </c>
      <c r="C9" s="3" t="inlineStr">
        <is>
          <t>AC03;AC10</t>
        </is>
      </c>
      <c r="D9" s="3" t="inlineStr">
        <is>
          <t>Kiểm tra Cart có A còn hàng, B hết hàng, C còn hàng hiển thị đúng trạng thái từng sản phẩm</t>
        </is>
      </c>
      <c r="E9" s="3" t="inlineStr">
        <is>
          <t>Functional</t>
        </is>
      </c>
      <c r="F9" s="3" t="inlineStr">
        <is>
          <t>Positive</t>
        </is>
      </c>
      <c r="G9" s="3" t="inlineStr">
        <is>
          <t>UC</t>
        </is>
      </c>
      <c r="H9" s="4" t="inlineStr">
        <is>
          <t>P1</t>
        </is>
      </c>
      <c r="I9" s="3" t="inlineStr">
        <is>
          <t>1. Theo SETUP-01 (customer01@test.com đã đăng nhập); thay đổi tồn kho theo SETUP-02
2. Thêm vào Cart lần lượt SP-A, SP-B, SP-C (qty = 1)
3. Admin cập nhật Saleable Qty SP-B = 0</t>
        </is>
      </c>
      <c r="J9" s="3" t="inlineStr">
        <is>
          <t>SP-A, SP-C (Saleable Qty = 10); SP-B (Saleable Qty = 0)</t>
        </is>
      </c>
      <c r="K9" s="3" t="inlineStr">
        <is>
          <t>1. Truy cập trang "Giỏ hàng"
2. Bỏ tick rồi tick lại SP-A và SP-C</t>
        </is>
      </c>
      <c r="L9" s="3" t="inlineStr">
        <is>
          <t>1. Thứ tự hiển thị: SP-A, SP-C, SP-B; SP-B bỏ tick, checkbox Disable, có thông báo "Sản phẩm hiện đang hết hàng"; nút "Mua hàng" Enable
2. SP-A và SP-C tick/bỏ tick được bình thường</t>
        </is>
      </c>
      <c r="M9" s="3" t="inlineStr">
        <is>
          <t>Candidate</t>
        </is>
      </c>
      <c r="N9" s="3" t="inlineStr">
        <is>
          <t>Not Run</t>
        </is>
      </c>
      <c r="O9" s="3" t="inlineStr">
        <is>
          <t>[Giả định AS-01] câu thông báo hết hàng</t>
        </is>
      </c>
      <c r="P9" s="5" t="inlineStr">
        <is>
          <t>Needs Clarification (AS-01)</t>
        </is>
      </c>
      <c r="Q9" s="3" t="inlineStr"/>
      <c r="R9" s="3" t="inlineStr"/>
      <c r="S9" s="3" t="inlineStr"/>
      <c r="T9" s="3" t="inlineStr"/>
    </row>
    <row r="10">
      <c r="A10" s="3" t="inlineStr">
        <is>
          <t>TC-CART-009</t>
        </is>
      </c>
      <c r="B10" s="3" t="inlineStr">
        <is>
          <t>Giỏ hàng</t>
        </is>
      </c>
      <c r="C10" s="3" t="inlineStr">
        <is>
          <t>AC03</t>
        </is>
      </c>
      <c r="D10" s="3" t="inlineStr">
        <is>
          <t>Kiểm tra checkout chỉ với sản phẩm còn hàng được tick mà không cần xoá sản phẩm hết hàng</t>
        </is>
      </c>
      <c r="E10" s="3" t="inlineStr">
        <is>
          <t>Functional</t>
        </is>
      </c>
      <c r="F10" s="3" t="inlineStr">
        <is>
          <t>Positive</t>
        </is>
      </c>
      <c r="G10" s="3" t="inlineStr">
        <is>
          <t>UC</t>
        </is>
      </c>
      <c r="H10" s="4" t="inlineStr">
        <is>
          <t>P1</t>
        </is>
      </c>
      <c r="I10" s="3" t="inlineStr">
        <is>
          <t>1. Theo SETUP-01 (customer01@test.com đã đăng nhập); thay đổi tồn kho theo SETUP-02
2. Cart có SP-A, SP-C (còn hàng) và SP-B (Saleable Qty = 0)
3. Đang ở trang Giỏ hàng, SP-A và SP-C được tick</t>
        </is>
      </c>
      <c r="J10" s="3" t="inlineStr">
        <is>
          <t>SP-A, SP-B, SP-C</t>
        </is>
      </c>
      <c r="K10" s="3" t="inlineStr">
        <is>
          <t>1. Bỏ tick SP-A
2. Nhấn nút "Mua hàng"</t>
        </is>
      </c>
      <c r="L10" s="3" t="inlineStr">
        <is>
          <t>1. Nút "Mua hàng" vẫn Enable
2. Chuyển tới trang Checkout chỉ với SP-C; không có thông báo yêu cầu xoá SP-B</t>
        </is>
      </c>
      <c r="M10" s="3" t="inlineStr">
        <is>
          <t>Candidate</t>
        </is>
      </c>
      <c r="N10" s="3" t="inlineStr">
        <is>
          <t>Not Run</t>
        </is>
      </c>
      <c r="O10" s="3" t="inlineStr"/>
      <c r="P10" s="3" t="inlineStr">
        <is>
          <t>Ready</t>
        </is>
      </c>
      <c r="Q10" s="3" t="inlineStr"/>
      <c r="R10" s="3" t="inlineStr"/>
      <c r="S10" s="3" t="inlineStr"/>
      <c r="T10" s="3" t="inlineStr"/>
    </row>
    <row r="11">
      <c r="A11" s="3" t="inlineStr">
        <is>
          <t>TC-CART-010</t>
        </is>
      </c>
      <c r="B11" s="3" t="inlineStr">
        <is>
          <t>Giỏ hàng</t>
        </is>
      </c>
      <c r="C11" s="3" t="inlineStr">
        <is>
          <t>AC04;BR-01</t>
        </is>
      </c>
      <c r="D11" s="3" t="inlineStr">
        <is>
          <t>Kiểm tra nút Mua hàng Enable khi có ít nhất 1 sản phẩm còn hàng được tick</t>
        </is>
      </c>
      <c r="E11" s="3" t="inlineStr">
        <is>
          <t>Functional</t>
        </is>
      </c>
      <c r="F11" s="3" t="inlineStr">
        <is>
          <t>Positive</t>
        </is>
      </c>
      <c r="G11" s="3" t="inlineStr">
        <is>
          <t>DT</t>
        </is>
      </c>
      <c r="H11" s="4" t="inlineStr">
        <is>
          <t>P1</t>
        </is>
      </c>
      <c r="I11" s="3" t="inlineStr">
        <is>
          <t>1. Theo SETUP-01 (customer01@test.com đã đăng nhập); thay đổi tồn kho theo SETUP-02
2. Cart có SP-A, SP-C (còn hàng) và SP-B (Saleable Qty = 0)
3. Đang ở trang Giỏ hàng, chưa tick SP nào</t>
        </is>
      </c>
      <c r="J11" s="3" t="inlineStr">
        <is>
          <t>SP-A, SP-B, SP-C</t>
        </is>
      </c>
      <c r="K11" s="3" t="inlineStr">
        <is>
          <t>1. Tick SP-A</t>
        </is>
      </c>
      <c r="L11" s="3" t="inlineStr">
        <is>
          <t>1. Nút "Mua hàng" chuyển sang Enable</t>
        </is>
      </c>
      <c r="M11" s="3" t="inlineStr">
        <is>
          <t>Candidate</t>
        </is>
      </c>
      <c r="N11" s="3" t="inlineStr">
        <is>
          <t>Not Run</t>
        </is>
      </c>
      <c r="O11" s="3" t="inlineStr">
        <is>
          <t>DT1-R1</t>
        </is>
      </c>
      <c r="P11" s="3" t="inlineStr">
        <is>
          <t>Ready</t>
        </is>
      </c>
      <c r="Q11" s="3" t="inlineStr"/>
      <c r="R11" s="3" t="inlineStr"/>
      <c r="S11" s="3" t="inlineStr"/>
      <c r="T11" s="3" t="inlineStr"/>
    </row>
    <row r="12">
      <c r="A12" s="3" t="inlineStr">
        <is>
          <t>TC-CART-011</t>
        </is>
      </c>
      <c r="B12" s="3" t="inlineStr">
        <is>
          <t>Giỏ hàng</t>
        </is>
      </c>
      <c r="C12" s="3" t="inlineStr">
        <is>
          <t>AC04;AC01;BR-01</t>
        </is>
      </c>
      <c r="D12" s="3" t="inlineStr">
        <is>
          <t>Kiểm tra nút Mua hàng Disable khi không có sản phẩm còn hàng nào được tick</t>
        </is>
      </c>
      <c r="E12" s="3" t="inlineStr">
        <is>
          <t>Functional</t>
        </is>
      </c>
      <c r="F12" s="3" t="inlineStr">
        <is>
          <t>Negative</t>
        </is>
      </c>
      <c r="G12" s="3" t="inlineStr">
        <is>
          <t>DT</t>
        </is>
      </c>
      <c r="H12" s="6" t="inlineStr">
        <is>
          <t>P2</t>
        </is>
      </c>
      <c r="I12" s="3" t="inlineStr">
        <is>
          <t>1. Theo SETUP-01 (customer01@test.com đã đăng nhập); thay đổi tồn kho theo SETUP-02
2. Cart có SP-A, SP-C (còn hàng) và SP-B (Saleable Qty = 0)
3. Đang ở trang Giỏ hàng, SP-A và SP-C được tick</t>
        </is>
      </c>
      <c r="J12" s="3" t="inlineStr">
        <is>
          <t>SP-A, SP-B, SP-C</t>
        </is>
      </c>
      <c r="K12" s="3" t="inlineStr">
        <is>
          <t>1. Bỏ tick SP-A
2. Bỏ tick SP-C
3. Click nút "Mua hàng"</t>
        </is>
      </c>
      <c r="L12" s="3" t="inlineStr">
        <is>
          <t>1. Nút "Mua hàng" vẫn Enable
2. Nút "Mua hàng" chuyển sang Disable
3. Không chuyển trang, vẫn ở Giỏ hàng</t>
        </is>
      </c>
      <c r="M12" s="3" t="inlineStr">
        <is>
          <t>Candidate</t>
        </is>
      </c>
      <c r="N12" s="3" t="inlineStr">
        <is>
          <t>Not Run</t>
        </is>
      </c>
      <c r="O12" s="3" t="inlineStr">
        <is>
          <t>DT1-R2</t>
        </is>
      </c>
      <c r="P12" s="3" t="inlineStr">
        <is>
          <t>Ready</t>
        </is>
      </c>
      <c r="Q12" s="3" t="inlineStr"/>
      <c r="R12" s="3" t="inlineStr"/>
      <c r="S12" s="3" t="inlineStr"/>
      <c r="T12" s="3" t="inlineStr"/>
    </row>
    <row r="13">
      <c r="A13" s="3" t="inlineStr">
        <is>
          <t>TC-CART-012</t>
        </is>
      </c>
      <c r="B13" s="3" t="inlineStr">
        <is>
          <t>Giỏ hàng</t>
        </is>
      </c>
      <c r="C13" s="3" t="inlineStr">
        <is>
          <t>AC04;BR-01</t>
        </is>
      </c>
      <c r="D13" s="3" t="inlineStr">
        <is>
          <t>Kiểm tra nút Mua hàng chuyển trạng thái tại biên từ 1 sản phẩm được tick xuống 0</t>
        </is>
      </c>
      <c r="E13" s="3" t="inlineStr">
        <is>
          <t>Functional</t>
        </is>
      </c>
      <c r="F13" s="3" t="inlineStr">
        <is>
          <t>Boundary</t>
        </is>
      </c>
      <c r="G13" s="3" t="inlineStr">
        <is>
          <t>BVA</t>
        </is>
      </c>
      <c r="H13" s="6" t="inlineStr">
        <is>
          <t>P2</t>
        </is>
      </c>
      <c r="I13" s="3" t="inlineStr">
        <is>
          <t>1. Theo SETUP-01 (customer01@test.com đã đăng nhập); thay đổi tồn kho theo SETUP-02
2. Cart có SP-A, SP-C, SP-E còn hàng
3. Đang ở trang Giỏ hàng, chỉ SP-A được tick</t>
        </is>
      </c>
      <c r="J13" s="3" t="inlineStr">
        <is>
          <t>SP-A, SP-C, SP-E</t>
        </is>
      </c>
      <c r="K13" s="3" t="inlineStr">
        <is>
          <t>1. Bỏ tick SP-A
2. Tick lại SP-A</t>
        </is>
      </c>
      <c r="L13" s="3" t="inlineStr">
        <is>
          <t>1. Nút "Mua hàng" chuyển sang Disable (0 SP được tick)
2. Nút "Mua hàng" chuyển sang Enable (1 SP được tick)</t>
        </is>
      </c>
      <c r="M13" s="3" t="inlineStr">
        <is>
          <t>Candidate</t>
        </is>
      </c>
      <c r="N13" s="3" t="inlineStr">
        <is>
          <t>Not Run</t>
        </is>
      </c>
      <c r="O13" s="3" t="inlineStr"/>
      <c r="P13" s="3" t="inlineStr">
        <is>
          <t>Ready</t>
        </is>
      </c>
      <c r="Q13" s="3" t="inlineStr"/>
      <c r="R13" s="3" t="inlineStr"/>
      <c r="S13" s="3" t="inlineStr"/>
      <c r="T13" s="3" t="inlineStr"/>
    </row>
    <row r="14">
      <c r="A14" s="3" t="inlineStr">
        <is>
          <t>TC-CART-013</t>
        </is>
      </c>
      <c r="B14" s="3" t="inlineStr">
        <is>
          <t>Giỏ hàng</t>
        </is>
      </c>
      <c r="C14" s="3" t="inlineStr">
        <is>
          <t>AC04;AC05;BR-01</t>
        </is>
      </c>
      <c r="D14" s="3" t="inlineStr">
        <is>
          <t>Kiểm tra nút Mua hàng Disable khi tất cả sản phẩm trong Cart đều hết hàng</t>
        </is>
      </c>
      <c r="E14" s="3" t="inlineStr">
        <is>
          <t>Functional</t>
        </is>
      </c>
      <c r="F14" s="3" t="inlineStr">
        <is>
          <t>Negative</t>
        </is>
      </c>
      <c r="G14" s="3" t="inlineStr">
        <is>
          <t>DT</t>
        </is>
      </c>
      <c r="H14" s="6" t="inlineStr">
        <is>
          <t>P2</t>
        </is>
      </c>
      <c r="I14" s="3" t="inlineStr">
        <is>
          <t>1. Theo SETUP-01 (customer01@test.com đã đăng nhập); thay đổi tồn kho theo SETUP-02
2. Cart chỉ có SP-B và SP-D, cả hai Saleable Qty = 0</t>
        </is>
      </c>
      <c r="J14" s="3" t="inlineStr">
        <is>
          <t>SP-B, SP-D (Saleable Qty = 0)</t>
        </is>
      </c>
      <c r="K14" s="3" t="inlineStr">
        <is>
          <t>1. Truy cập trang "Giỏ hàng"
2. Click nút "Mua hàng"</t>
        </is>
      </c>
      <c r="L14" s="3" t="inlineStr">
        <is>
          <t>1. Nút "Mua hàng" Disable
2. Không chuyển sang trang Checkout</t>
        </is>
      </c>
      <c r="M14" s="3" t="inlineStr">
        <is>
          <t>Candidate</t>
        </is>
      </c>
      <c r="N14" s="3" t="inlineStr">
        <is>
          <t>Not Run</t>
        </is>
      </c>
      <c r="O14" s="3" t="inlineStr">
        <is>
          <t>DT1-R3</t>
        </is>
      </c>
      <c r="P14" s="3" t="inlineStr">
        <is>
          <t>Ready</t>
        </is>
      </c>
      <c r="Q14" s="3" t="inlineStr"/>
      <c r="R14" s="3" t="inlineStr"/>
      <c r="S14" s="3" t="inlineStr"/>
      <c r="T14" s="3" t="inlineStr"/>
    </row>
    <row r="15">
      <c r="A15" s="3" t="inlineStr">
        <is>
          <t>TC-CART-014</t>
        </is>
      </c>
      <c r="B15" s="3" t="inlineStr">
        <is>
          <t>Giỏ hàng</t>
        </is>
      </c>
      <c r="C15" s="3" t="inlineStr">
        <is>
          <t>AC05</t>
        </is>
      </c>
      <c r="D15" s="3" t="inlineStr">
        <is>
          <t>Kiểm tra hiển thị Cart khi tất cả sản phẩm đều hết hàng</t>
        </is>
      </c>
      <c r="E15" s="3" t="inlineStr">
        <is>
          <t>Functional</t>
        </is>
      </c>
      <c r="F15" s="3" t="inlineStr">
        <is>
          <t>Positive</t>
        </is>
      </c>
      <c r="G15" s="3" t="inlineStr">
        <is>
          <t>UC</t>
        </is>
      </c>
      <c r="H15" s="4" t="inlineStr">
        <is>
          <t>P1</t>
        </is>
      </c>
      <c r="I15" s="3" t="inlineStr">
        <is>
          <t>1. Theo SETUP-01 (customer01@test.com đã đăng nhập); thay đổi tồn kho theo SETUP-02
2. Cart chỉ có SP-B và SP-D, cả hai Saleable Qty = 0</t>
        </is>
      </c>
      <c r="J15" s="3" t="inlineStr">
        <is>
          <t>SP-B, SP-D (Saleable Qty = 0)</t>
        </is>
      </c>
      <c r="K15" s="3" t="inlineStr">
        <is>
          <t>1. Truy cập trang "Giỏ hàng"</t>
        </is>
      </c>
      <c r="L15" s="3" t="inlineStr">
        <is>
          <t>1. SP-B và SP-D vẫn hiển thị trong Cart; cả hai bỏ tick, checkbox Disable; bên dưới mỗi SP hiển thị thông báo hết hàng; nút "Mua hàng" Disable</t>
        </is>
      </c>
      <c r="M15" s="3" t="inlineStr">
        <is>
          <t>Candidate</t>
        </is>
      </c>
      <c r="N15" s="3" t="inlineStr">
        <is>
          <t>Not Run</t>
        </is>
      </c>
      <c r="O15" s="3" t="inlineStr">
        <is>
          <t>[Cần xác nhận Q-01] AC05 ghi 'số lượng sản phẩm không có sẵn', AC02 ghi 'Sản phẩm hiện đang hết hàng'; [Cần xác nhận Q-03] trạng thái checkbox 'Tất cả sản phẩm'</t>
        </is>
      </c>
      <c r="P15" s="5" t="inlineStr">
        <is>
          <t>Needs Clarification (Q-01, Q-03)</t>
        </is>
      </c>
      <c r="Q15" s="3" t="inlineStr"/>
      <c r="R15" s="3" t="inlineStr"/>
      <c r="S15" s="3" t="inlineStr"/>
      <c r="T15" s="3" t="inlineStr"/>
    </row>
    <row r="16">
      <c r="A16" s="3" t="inlineStr">
        <is>
          <t>TC-CART-015</t>
        </is>
      </c>
      <c r="B16" s="3" t="inlineStr">
        <is>
          <t>Giỏ hàng</t>
        </is>
      </c>
      <c r="C16" s="3" t="inlineStr">
        <is>
          <t>AC05</t>
        </is>
      </c>
      <c r="D16" s="3" t="inlineStr">
        <is>
          <t>Kiểm tra không vào được Checkout bằng URL trực tiếp khi tất cả sản phẩm hết hàng</t>
        </is>
      </c>
      <c r="E16" s="3" t="inlineStr">
        <is>
          <t>Security</t>
        </is>
      </c>
      <c r="F16" s="3" t="inlineStr">
        <is>
          <t>Negative</t>
        </is>
      </c>
      <c r="G16" s="3" t="inlineStr">
        <is>
          <t>EG</t>
        </is>
      </c>
      <c r="H16" s="6" t="inlineStr">
        <is>
          <t>P2</t>
        </is>
      </c>
      <c r="I16" s="3" t="inlineStr">
        <is>
          <t>1. Theo SETUP-01 (customer01@test.com đã đăng nhập); thay đổi tồn kho theo SETUP-02
2. Cart chỉ có SP-B và SP-D, cả hai Saleable Qty = 0</t>
        </is>
      </c>
      <c r="J16" s="3" t="inlineStr">
        <is>
          <t>URL: &lt;domain&gt;/checkout</t>
        </is>
      </c>
      <c r="K16" s="3" t="inlineStr">
        <is>
          <t>1. Nhập trực tiếp URL trang Checkout vào thanh địa chỉ và Enter</t>
        </is>
      </c>
      <c r="L16" s="3" t="inlineStr">
        <is>
          <t>1. Không hiển thị trang Checkout có SP-B hoặc SP-D; không thể đặt hàng</t>
        </is>
      </c>
      <c r="M16" s="3" t="inlineStr">
        <is>
          <t>Candidate</t>
        </is>
      </c>
      <c r="N16" s="3" t="inlineStr">
        <is>
          <t>Not Run</t>
        </is>
      </c>
      <c r="O16" s="3" t="inlineStr">
        <is>
          <t>[Cần xác nhận Q-12] trang chuyển hướng và thông báo cụ thể</t>
        </is>
      </c>
      <c r="P16" s="5" t="inlineStr">
        <is>
          <t>Needs Clarification (Q-12)</t>
        </is>
      </c>
      <c r="Q16" s="3" t="inlineStr"/>
      <c r="R16" s="3" t="inlineStr"/>
      <c r="S16" s="3" t="inlineStr"/>
      <c r="T16" s="3" t="inlineStr"/>
    </row>
    <row r="17">
      <c r="A17" s="3" t="inlineStr">
        <is>
          <t>TC-CART-016</t>
        </is>
      </c>
      <c r="B17" s="3" t="inlineStr">
        <is>
          <t>Giỏ hàng</t>
        </is>
      </c>
      <c r="C17" s="3" t="inlineStr">
        <is>
          <t>AC06;BR-03</t>
        </is>
      </c>
      <c r="D17" s="3" t="inlineStr">
        <is>
          <t>Kiểm tra tự điều chỉnh qty về tồn kho khả dụng khi tồn kho giảm từ 2 xuống 1</t>
        </is>
      </c>
      <c r="E17" s="3" t="inlineStr">
        <is>
          <t>Functional</t>
        </is>
      </c>
      <c r="F17" s="3" t="inlineStr">
        <is>
          <t>Boundary</t>
        </is>
      </c>
      <c r="G17" s="3" t="inlineStr">
        <is>
          <t>ST</t>
        </is>
      </c>
      <c r="H17" s="4" t="inlineStr">
        <is>
          <t>P1</t>
        </is>
      </c>
      <c r="I17" s="3" t="inlineStr">
        <is>
          <t>1. Theo SETUP-01 (customer01@test.com đã đăng nhập); thay đổi tồn kho theo SETUP-02
2. Admin đặt Saleable Qty SP-A = 2
3. Cart có SP-A qty = 2, đang được tick</t>
        </is>
      </c>
      <c r="J17" s="3" t="inlineStr">
        <is>
          <t>SP-A: Saleable Qty 2 → 1; qty trong Cart = 2</t>
        </is>
      </c>
      <c r="K17" s="3" t="inlineStr">
        <is>
          <t>1. Admin cập nhật Saleable Qty SP-A = 1
2. Khách hàng tải lại trang Giỏ hàng (F5)</t>
        </is>
      </c>
      <c r="L17" s="3" t="inlineStr">
        <is>
          <t>2. Qty SP-A tự đổi thành 1; SP-A vẫn được tick; hiển thị thông báo "Sản phẩm này chỉ còn số lượng là 1"; tạm tính SP-A = 15.780.000 ₫</t>
        </is>
      </c>
      <c r="M17" s="3" t="inlineStr">
        <is>
          <t>Candidate</t>
        </is>
      </c>
      <c r="N17" s="3" t="inlineStr">
        <is>
          <t>Not Run</t>
        </is>
      </c>
      <c r="O17" s="3" t="inlineStr">
        <is>
          <t>[Giả định AS-03] [Cần xác nhận Q-04]</t>
        </is>
      </c>
      <c r="P17" s="5" t="inlineStr">
        <is>
          <t>Needs Clarification (Q-04, AS-03)</t>
        </is>
      </c>
      <c r="Q17" s="3" t="inlineStr"/>
      <c r="R17" s="3" t="inlineStr"/>
      <c r="S17" s="3" t="inlineStr"/>
      <c r="T17" s="3" t="inlineStr"/>
    </row>
    <row r="18">
      <c r="A18" s="3" t="inlineStr">
        <is>
          <t>TC-CART-017</t>
        </is>
      </c>
      <c r="B18" s="3" t="inlineStr">
        <is>
          <t>Giỏ hàng</t>
        </is>
      </c>
      <c r="C18" s="3" t="inlineStr">
        <is>
          <t>AC06</t>
        </is>
      </c>
      <c r="D18" s="3" t="inlineStr">
        <is>
          <t>Kiểm tra checkout được sau khi qty đã tự điều chỉnh về tồn kho khả dụng</t>
        </is>
      </c>
      <c r="E18" s="3" t="inlineStr">
        <is>
          <t>Functional</t>
        </is>
      </c>
      <c r="F18" s="3" t="inlineStr">
        <is>
          <t>Positive</t>
        </is>
      </c>
      <c r="G18" s="3" t="inlineStr">
        <is>
          <t>UC</t>
        </is>
      </c>
      <c r="H18" s="4" t="inlineStr">
        <is>
          <t>P1</t>
        </is>
      </c>
      <c r="I18" s="3" t="inlineStr">
        <is>
          <t>1. Theo SETUP-01 (customer01@test.com đã đăng nhập); thay đổi tồn kho theo SETUP-02
2. Admin đặt Saleable Qty SP-A = 2
3. Cart có SP-A qty = 2, đang được tick</t>
        </is>
      </c>
      <c r="J18" s="3" t="inlineStr">
        <is>
          <t>SP-A: Saleable Qty 2 → 1; qty trong Cart = 2</t>
        </is>
      </c>
      <c r="K18" s="3" t="inlineStr">
        <is>
          <t>1. Admin cập nhật Saleable Qty SP-A = 1
2. Khách hàng tải lại trang Giỏ hàng (F5)
3. Nhấn nút "Mua hàng"</t>
        </is>
      </c>
      <c r="L18" s="3" t="inlineStr">
        <is>
          <t>2. Qty SP-A tự đổi thành 1, vẫn được tick
3. Chuyển tới trang Checkout với SP-A qty = 1</t>
        </is>
      </c>
      <c r="M18" s="3" t="inlineStr">
        <is>
          <t>Candidate</t>
        </is>
      </c>
      <c r="N18" s="3" t="inlineStr">
        <is>
          <t>Not Run</t>
        </is>
      </c>
      <c r="O18" s="3" t="inlineStr">
        <is>
          <t>[Giả định AS-03]</t>
        </is>
      </c>
      <c r="P18" s="5" t="inlineStr">
        <is>
          <t>Needs Clarification (AS-03)</t>
        </is>
      </c>
      <c r="Q18" s="3" t="inlineStr"/>
      <c r="R18" s="3" t="inlineStr"/>
      <c r="S18" s="3" t="inlineStr"/>
      <c r="T18" s="3" t="inlineStr"/>
    </row>
    <row r="19">
      <c r="A19" s="3" t="inlineStr">
        <is>
          <t>TC-CART-018</t>
        </is>
      </c>
      <c r="B19" s="3" t="inlineStr">
        <is>
          <t>Giỏ hàng</t>
        </is>
      </c>
      <c r="C19" s="3" t="inlineStr">
        <is>
          <t>AC06;BR-03</t>
        </is>
      </c>
      <c r="D19" s="3" t="inlineStr">
        <is>
          <t>Kiểm tra qty tự quay về tồn kho khả dụng khi cố tăng qty sau khi đã bị điều chỉnh</t>
        </is>
      </c>
      <c r="E19" s="3" t="inlineStr">
        <is>
          <t>Validation</t>
        </is>
      </c>
      <c r="F19" s="3" t="inlineStr">
        <is>
          <t>Boundary</t>
        </is>
      </c>
      <c r="G19" s="3" t="inlineStr">
        <is>
          <t>ST</t>
        </is>
      </c>
      <c r="H19" s="6" t="inlineStr">
        <is>
          <t>P2</t>
        </is>
      </c>
      <c r="I19" s="3" t="inlineStr">
        <is>
          <t>1. Theo SETUP-01 (customer01@test.com đã đăng nhập); thay đổi tồn kho theo SETUP-02
2. Admin đặt Saleable Qty SP-A = 1
3. Cart có SP-A qty = 1, đang được tick</t>
        </is>
      </c>
      <c r="J19" s="3" t="inlineStr">
        <is>
          <t>SP-A: nhập qty = 2</t>
        </is>
      </c>
      <c r="K19" s="3" t="inlineStr">
        <is>
          <t>1. Tăng qty SP-A lên 2 (nút + hoặc nhập 2 vào ô "Số lượng")</t>
        </is>
      </c>
      <c r="L19" s="3" t="inlineStr">
        <is>
          <t>1. Qty SP-A tự quay về 1; hiển thị thông báo "Sản phẩm này chỉ còn số lượng là 1"; SP-A vẫn được tick</t>
        </is>
      </c>
      <c r="M19" s="3" t="inlineStr">
        <is>
          <t>Candidate</t>
        </is>
      </c>
      <c r="N19" s="3" t="inlineStr">
        <is>
          <t>Not Run</t>
        </is>
      </c>
      <c r="O19" s="3" t="inlineStr"/>
      <c r="P19" s="3" t="inlineStr">
        <is>
          <t>Ready</t>
        </is>
      </c>
      <c r="Q19" s="3" t="inlineStr"/>
      <c r="R19" s="3" t="inlineStr"/>
      <c r="S19" s="3" t="inlineStr"/>
      <c r="T19" s="3" t="inlineStr"/>
    </row>
    <row r="20">
      <c r="A20" s="3" t="inlineStr">
        <is>
          <t>TC-CART-019</t>
        </is>
      </c>
      <c r="B20" s="3" t="inlineStr">
        <is>
          <t>Giỏ hàng</t>
        </is>
      </c>
      <c r="C20" s="3" t="inlineStr">
        <is>
          <t>AC07</t>
        </is>
      </c>
      <c r="D20" s="3" t="inlineStr">
        <is>
          <t>Kiểm tra giữ nguyên qty và tick khi đổi qty = 4 (dưới tồn kho khả dụng 5)</t>
        </is>
      </c>
      <c r="E20" s="3" t="inlineStr">
        <is>
          <t>Validation</t>
        </is>
      </c>
      <c r="F20" s="3" t="inlineStr">
        <is>
          <t>Boundary</t>
        </is>
      </c>
      <c r="G20" s="3" t="inlineStr">
        <is>
          <t>BVA</t>
        </is>
      </c>
      <c r="H20" s="6" t="inlineStr">
        <is>
          <t>P2</t>
        </is>
      </c>
      <c r="I20" s="3" t="inlineStr">
        <is>
          <t>1. Theo SETUP-01 (customer01@test.com đã đăng nhập); thay đổi tồn kho theo SETUP-02
2. Admin đặt Saleable Qty SP-E = 5
3. Cart có SP-E qty = 1, đang được tick</t>
        </is>
      </c>
      <c r="J20" s="3" t="inlineStr">
        <is>
          <t>SP-E: Saleable Qty = 5; qty mới = 4</t>
        </is>
      </c>
      <c r="K20" s="3" t="inlineStr">
        <is>
          <t>1. Đổi qty SP-E thành 4</t>
        </is>
      </c>
      <c r="L20" s="3" t="inlineStr">
        <is>
          <t>1. Qty SP-E = 4; vẫn được tick; không hiển thị thông báo "Sản phẩm này chỉ còn số lượng là..."; nút "Mua hàng" Enable</t>
        </is>
      </c>
      <c r="M20" s="3" t="inlineStr">
        <is>
          <t>Candidate</t>
        </is>
      </c>
      <c r="N20" s="3" t="inlineStr">
        <is>
          <t>Not Run</t>
        </is>
      </c>
      <c r="O20" s="3" t="inlineStr"/>
      <c r="P20" s="3" t="inlineStr">
        <is>
          <t>Ready</t>
        </is>
      </c>
      <c r="Q20" s="3" t="inlineStr"/>
      <c r="R20" s="3" t="inlineStr"/>
      <c r="S20" s="3" t="inlineStr"/>
      <c r="T20" s="3" t="inlineStr"/>
    </row>
    <row r="21">
      <c r="A21" s="3" t="inlineStr">
        <is>
          <t>TC-CART-020</t>
        </is>
      </c>
      <c r="B21" s="3" t="inlineStr">
        <is>
          <t>Giỏ hàng</t>
        </is>
      </c>
      <c r="C21" s="3" t="inlineStr">
        <is>
          <t>AC07</t>
        </is>
      </c>
      <c r="D21" s="3" t="inlineStr">
        <is>
          <t>Kiểm tra giữ nguyên qty và tick khi đổi qty bằng đúng tồn kho khả dụng 5</t>
        </is>
      </c>
      <c r="E21" s="3" t="inlineStr">
        <is>
          <t>Validation</t>
        </is>
      </c>
      <c r="F21" s="3" t="inlineStr">
        <is>
          <t>Boundary</t>
        </is>
      </c>
      <c r="G21" s="3" t="inlineStr">
        <is>
          <t>BVA</t>
        </is>
      </c>
      <c r="H21" s="6" t="inlineStr">
        <is>
          <t>P2</t>
        </is>
      </c>
      <c r="I21" s="3" t="inlineStr">
        <is>
          <t>1. Theo SETUP-01 (customer01@test.com đã đăng nhập); thay đổi tồn kho theo SETUP-02
2. Admin đặt Saleable Qty SP-E = 5
3. Cart có SP-E qty = 1, đang được tick</t>
        </is>
      </c>
      <c r="J21" s="3" t="inlineStr">
        <is>
          <t>SP-E: Saleable Qty = 5; qty mới = 5</t>
        </is>
      </c>
      <c r="K21" s="3" t="inlineStr">
        <is>
          <t>1. Đổi qty SP-E thành 5
2. Nhấn nút "Mua hàng"</t>
        </is>
      </c>
      <c r="L21" s="3" t="inlineStr">
        <is>
          <t>1. Qty SP-E = 5; vẫn được tick; không hiển thị thông báo số lượng
2. Chuyển tới Checkout với SP-E qty = 5</t>
        </is>
      </c>
      <c r="M21" s="3" t="inlineStr">
        <is>
          <t>Candidate</t>
        </is>
      </c>
      <c r="N21" s="3" t="inlineStr">
        <is>
          <t>Not Run</t>
        </is>
      </c>
      <c r="O21" s="3" t="inlineStr"/>
      <c r="P21" s="3" t="inlineStr">
        <is>
          <t>Ready</t>
        </is>
      </c>
      <c r="Q21" s="3" t="inlineStr"/>
      <c r="R21" s="3" t="inlineStr"/>
      <c r="S21" s="3" t="inlineStr"/>
      <c r="T21" s="3" t="inlineStr"/>
    </row>
    <row r="22">
      <c r="A22" s="3" t="inlineStr">
        <is>
          <t>TC-CART-021</t>
        </is>
      </c>
      <c r="B22" s="3" t="inlineStr">
        <is>
          <t>Giỏ hàng</t>
        </is>
      </c>
      <c r="C22" s="3" t="inlineStr">
        <is>
          <t>AC07;BR-03</t>
        </is>
      </c>
      <c r="D22" s="3" t="inlineStr">
        <is>
          <t>Kiểm tra tự điều chỉnh qty về 5 khi đổi qty = 6 (vượt tồn kho khả dụng 5)</t>
        </is>
      </c>
      <c r="E22" s="3" t="inlineStr">
        <is>
          <t>Validation</t>
        </is>
      </c>
      <c r="F22" s="3" t="inlineStr">
        <is>
          <t>Boundary</t>
        </is>
      </c>
      <c r="G22" s="3" t="inlineStr">
        <is>
          <t>BVA</t>
        </is>
      </c>
      <c r="H22" s="6" t="inlineStr">
        <is>
          <t>P2</t>
        </is>
      </c>
      <c r="I22" s="3" t="inlineStr">
        <is>
          <t>1. Theo SETUP-01 (customer01@test.com đã đăng nhập); thay đổi tồn kho theo SETUP-02
2. Admin đặt Saleable Qty SP-E = 5
3. Cart có SP-E qty = 1, đang được tick</t>
        </is>
      </c>
      <c r="J22" s="3" t="inlineStr">
        <is>
          <t>SP-E: Saleable Qty = 5; qty mới = 6</t>
        </is>
      </c>
      <c r="K22" s="3" t="inlineStr">
        <is>
          <t>1. Đổi qty SP-E thành 6</t>
        </is>
      </c>
      <c r="L22" s="3" t="inlineStr">
        <is>
          <t>1. Qty SP-E tự đổi về 5; hiển thị thông báo "Sản phẩm này chỉ còn số lượng là 5"; SP-E vẫn được tick</t>
        </is>
      </c>
      <c r="M22" s="3" t="inlineStr">
        <is>
          <t>Candidate</t>
        </is>
      </c>
      <c r="N22" s="3" t="inlineStr">
        <is>
          <t>Not Run</t>
        </is>
      </c>
      <c r="O22" s="3" t="inlineStr"/>
      <c r="P22" s="3" t="inlineStr">
        <is>
          <t>Ready</t>
        </is>
      </c>
      <c r="Q22" s="3" t="inlineStr"/>
      <c r="R22" s="3" t="inlineStr"/>
      <c r="S22" s="3" t="inlineStr"/>
      <c r="T22" s="3" t="inlineStr"/>
    </row>
    <row r="23">
      <c r="A23" s="3" t="inlineStr">
        <is>
          <t>TC-CART-022</t>
        </is>
      </c>
      <c r="B23" s="3" t="inlineStr">
        <is>
          <t>Giỏ hàng</t>
        </is>
      </c>
      <c r="C23" s="3" t="inlineStr">
        <is>
          <t>AC07;BR-03</t>
        </is>
      </c>
      <c r="D23" s="3" t="inlineStr">
        <is>
          <t>Kiểm tra tự điều chỉnh qty về 5 khi nhập qty rất lớn 999</t>
        </is>
      </c>
      <c r="E23" s="3" t="inlineStr">
        <is>
          <t>Validation</t>
        </is>
      </c>
      <c r="F23" s="3" t="inlineStr">
        <is>
          <t>Negative</t>
        </is>
      </c>
      <c r="G23" s="3" t="inlineStr">
        <is>
          <t>EP</t>
        </is>
      </c>
      <c r="H23" s="7" t="inlineStr">
        <is>
          <t>P3</t>
        </is>
      </c>
      <c r="I23" s="3" t="inlineStr">
        <is>
          <t>1. Theo SETUP-01 (customer01@test.com đã đăng nhập); thay đổi tồn kho theo SETUP-02
2. Admin đặt Saleable Qty SP-E = 5
3. Cart có SP-E qty = 1, đang được tick</t>
        </is>
      </c>
      <c r="J23" s="3" t="inlineStr">
        <is>
          <t>SP-E: Saleable Qty = 5; qty mới = 999</t>
        </is>
      </c>
      <c r="K23" s="3" t="inlineStr">
        <is>
          <t>1. Nhập 999 vào ô "Số lượng" của SP-E</t>
        </is>
      </c>
      <c r="L23" s="3" t="inlineStr">
        <is>
          <t>1. Qty SP-E tự đổi về 5; hiển thị thông báo "Sản phẩm này chỉ còn số lượng là 5"; SP-E vẫn được tick</t>
        </is>
      </c>
      <c r="M23" s="3" t="inlineStr">
        <is>
          <t>Candidate</t>
        </is>
      </c>
      <c r="N23" s="3" t="inlineStr">
        <is>
          <t>Not Run</t>
        </is>
      </c>
      <c r="O23" s="3" t="inlineStr">
        <is>
          <t>Giá trị qty &lt; 1 / chữ: xem điều kiện CO-23 (đang Pending)</t>
        </is>
      </c>
      <c r="P23" s="3" t="inlineStr">
        <is>
          <t>Ready</t>
        </is>
      </c>
      <c r="Q23" s="3" t="inlineStr"/>
      <c r="R23" s="3" t="inlineStr"/>
      <c r="S23" s="3" t="inlineStr"/>
      <c r="T23" s="3" t="inlineStr"/>
    </row>
    <row r="24">
      <c r="A24" s="3" t="inlineStr">
        <is>
          <t>TC-CART-023</t>
        </is>
      </c>
      <c r="B24" s="3" t="inlineStr">
        <is>
          <t>Giỏ hàng</t>
        </is>
      </c>
      <c r="C24" s="3" t="inlineStr">
        <is>
          <t>AC08</t>
        </is>
      </c>
      <c r="D24" s="3" t="inlineStr">
        <is>
          <t>Kiểm tra chuyển sang Checkout khi tất cả sản phẩm được tick vẫn đủ tồn kho lúc bấm Mua hàng</t>
        </is>
      </c>
      <c r="E24" s="3" t="inlineStr">
        <is>
          <t>Functional</t>
        </is>
      </c>
      <c r="F24" s="3" t="inlineStr">
        <is>
          <t>Positive</t>
        </is>
      </c>
      <c r="G24" s="3" t="inlineStr">
        <is>
          <t>DT</t>
        </is>
      </c>
      <c r="H24" s="4" t="inlineStr">
        <is>
          <t>P1</t>
        </is>
      </c>
      <c r="I24" s="3" t="inlineStr">
        <is>
          <t>1. Theo SETUP-01 (customer01@test.com đã đăng nhập); thay đổi tồn kho theo SETUP-02
2. Cart có SP-A qty 1 và SP-C qty 1 (Saleable Qty = 10), đang được tick
3. Đang ở trang Giỏ hàng</t>
        </is>
      </c>
      <c r="J24" s="3" t="inlineStr">
        <is>
          <t>SP-A, SP-C</t>
        </is>
      </c>
      <c r="K24" s="3" t="inlineStr">
        <is>
          <t>1. Nhấn nút "Mua hàng"</t>
        </is>
      </c>
      <c r="L24" s="3" t="inlineStr">
        <is>
          <t>1. Chuyển tới trang Checkout với SP-A và SP-C; không hiển thị banner "Sản phẩm vừa được cập nhật lại."</t>
        </is>
      </c>
      <c r="M24" s="3" t="inlineStr">
        <is>
          <t>Candidate</t>
        </is>
      </c>
      <c r="N24" s="3" t="inlineStr">
        <is>
          <t>Not Run</t>
        </is>
      </c>
      <c r="O24" s="3" t="inlineStr">
        <is>
          <t>DT2-R1</t>
        </is>
      </c>
      <c r="P24" s="3" t="inlineStr">
        <is>
          <t>Ready</t>
        </is>
      </c>
      <c r="Q24" s="3" t="inlineStr"/>
      <c r="R24" s="3" t="inlineStr"/>
      <c r="S24" s="3" t="inlineStr"/>
      <c r="T24" s="3" t="inlineStr"/>
    </row>
    <row r="25">
      <c r="A25" s="3" t="inlineStr">
        <is>
          <t>TC-CART-024</t>
        </is>
      </c>
      <c r="B25" s="3" t="inlineStr">
        <is>
          <t>Giỏ hàng</t>
        </is>
      </c>
      <c r="C25" s="3" t="inlineStr">
        <is>
          <t>AC08;BR-02</t>
        </is>
      </c>
      <c r="D25" s="3" t="inlineStr">
        <is>
          <t>Kiểm tra reload Cart và hiển thị banner khi sản phẩm được tick hết hàng ngay trước lúc bấm Mua hàng</t>
        </is>
      </c>
      <c r="E25" s="3" t="inlineStr">
        <is>
          <t>Functional</t>
        </is>
      </c>
      <c r="F25" s="3" t="inlineStr">
        <is>
          <t>Negative</t>
        </is>
      </c>
      <c r="G25" s="3" t="inlineStr">
        <is>
          <t>DT</t>
        </is>
      </c>
      <c r="H25" s="4" t="inlineStr">
        <is>
          <t>P1</t>
        </is>
      </c>
      <c r="I25" s="3" t="inlineStr">
        <is>
          <t>1. Theo SETUP-01 (customer01@test.com đã đăng nhập); thay đổi tồn kho theo SETUP-02
2. Cart có SP-A và SP-C còn hàng, đang được tick
3. Đang mở trang Giỏ hàng (không tải lại)</t>
        </is>
      </c>
      <c r="J25" s="3" t="inlineStr">
        <is>
          <t>SP-A: Saleable Qty 10 → 0</t>
        </is>
      </c>
      <c r="K25" s="3" t="inlineStr">
        <is>
          <t>1. Admin cập nhật Saleable Qty SP-A = 0
2. Khách hàng nhấn nút "Mua hàng" (không tải lại trang trước)</t>
        </is>
      </c>
      <c r="L25" s="3" t="inlineStr">
        <is>
          <t>2. Không chuyển sang Checkout; Cart được tải lại và hiển thị banner "Sản phẩm vừa được cập nhật lại."; SP-A bỏ tick, checkbox Disable, có thông báo "Sản phẩm hiện đang hết hàng"; SP-C vẫn được tick</t>
        </is>
      </c>
      <c r="M25" s="3" t="inlineStr">
        <is>
          <t>Candidate</t>
        </is>
      </c>
      <c r="N25" s="3" t="inlineStr">
        <is>
          <t>Not Run</t>
        </is>
      </c>
      <c r="O25" s="3" t="inlineStr">
        <is>
          <t>DT2-R2. Regression DEV-3747 [Cần xác nhận Q-10] vị trí banner [Giả định AS-01] câu thông báo hết hàng</t>
        </is>
      </c>
      <c r="P25" s="5" t="inlineStr">
        <is>
          <t>Needs Clarification (Q-10, AS-01)</t>
        </is>
      </c>
      <c r="Q25" s="3" t="inlineStr"/>
      <c r="R25" s="3" t="inlineStr"/>
      <c r="S25" s="3" t="inlineStr"/>
      <c r="T25" s="3" t="inlineStr"/>
    </row>
    <row r="26">
      <c r="A26" s="3" t="inlineStr">
        <is>
          <t>TC-CART-025</t>
        </is>
      </c>
      <c r="B26" s="3" t="inlineStr">
        <is>
          <t>Giỏ hàng</t>
        </is>
      </c>
      <c r="C26" s="3" t="inlineStr">
        <is>
          <t>AC08;BR-03</t>
        </is>
      </c>
      <c r="D26" s="3" t="inlineStr">
        <is>
          <t>Kiểm tra reload Cart và tự điều chỉnh qty khi tồn kho giảm thấp hơn qty ngay trước lúc bấm Mua hàng</t>
        </is>
      </c>
      <c r="E26" s="3" t="inlineStr">
        <is>
          <t>Functional</t>
        </is>
      </c>
      <c r="F26" s="3" t="inlineStr">
        <is>
          <t>Negative</t>
        </is>
      </c>
      <c r="G26" s="3" t="inlineStr">
        <is>
          <t>DT</t>
        </is>
      </c>
      <c r="H26" s="4" t="inlineStr">
        <is>
          <t>P1</t>
        </is>
      </c>
      <c r="I26" s="3" t="inlineStr">
        <is>
          <t>1. Theo SETUP-01 (customer01@test.com đã đăng nhập); thay đổi tồn kho theo SETUP-02
2. Admin đặt Saleable Qty SP-A = 3
3. Cart có SP-A qty = 3, đang được tick
4. Đang mở trang Giỏ hàng (không tải lại)</t>
        </is>
      </c>
      <c r="J26" s="3" t="inlineStr">
        <is>
          <t>SP-A: Saleable Qty 3 → 2; qty = 3</t>
        </is>
      </c>
      <c r="K26" s="3" t="inlineStr">
        <is>
          <t>1. Admin cập nhật Saleable Qty SP-A = 2
2. Khách hàng nhấn nút "Mua hàng"</t>
        </is>
      </c>
      <c r="L26" s="3" t="inlineStr">
        <is>
          <t>2. Không chuyển sang Checkout; Cart được tải lại, hiển thị banner "Sản phẩm vừa được cập nhật lại."; qty SP-A = 2, vẫn được tick, có thông báo "Sản phẩm này chỉ còn số lượng là 2"</t>
        </is>
      </c>
      <c r="M26" s="3" t="inlineStr">
        <is>
          <t>Candidate</t>
        </is>
      </c>
      <c r="N26" s="3" t="inlineStr">
        <is>
          <t>Not Run</t>
        </is>
      </c>
      <c r="O26" s="3" t="inlineStr">
        <is>
          <t>DT2-R3. Regression DEV-3747</t>
        </is>
      </c>
      <c r="P26" s="3" t="inlineStr">
        <is>
          <t>Ready</t>
        </is>
      </c>
      <c r="Q26" s="3" t="inlineStr"/>
      <c r="R26" s="3" t="inlineStr"/>
      <c r="S26" s="3" t="inlineStr"/>
      <c r="T26" s="3" t="inlineStr"/>
    </row>
    <row r="27">
      <c r="A27" s="3" t="inlineStr">
        <is>
          <t>TC-CART-026</t>
        </is>
      </c>
      <c r="B27" s="3" t="inlineStr">
        <is>
          <t>Giỏ hàng</t>
        </is>
      </c>
      <c r="C27" s="3" t="inlineStr">
        <is>
          <t>AC08</t>
        </is>
      </c>
      <c r="D27" s="3" t="inlineStr">
        <is>
          <t>Kiểm tra sản phẩm hợp lệ khác giữ nguyên trạng thái chọn sau khi revalidate</t>
        </is>
      </c>
      <c r="E27" s="3" t="inlineStr">
        <is>
          <t>Functional</t>
        </is>
      </c>
      <c r="F27" s="3" t="inlineStr">
        <is>
          <t>Edge</t>
        </is>
      </c>
      <c r="G27" s="3" t="inlineStr">
        <is>
          <t>DT</t>
        </is>
      </c>
      <c r="H27" s="6" t="inlineStr">
        <is>
          <t>P2</t>
        </is>
      </c>
      <c r="I27" s="3" t="inlineStr">
        <is>
          <t>1. Theo SETUP-01 (customer01@test.com đã đăng nhập); thay đổi tồn kho theo SETUP-02
2. Cart có SP-A, SP-C, SP-E còn hàng; SP-A và SP-C được tick, SP-E bỏ tick
3. Đang mở trang Giỏ hàng</t>
        </is>
      </c>
      <c r="J27" s="3" t="inlineStr">
        <is>
          <t>SP-A: Saleable Qty → 0</t>
        </is>
      </c>
      <c r="K27" s="3" t="inlineStr">
        <is>
          <t>1. Admin cập nhật Saleable Qty SP-A = 0
2. Khách hàng nhấn nút "Mua hàng"</t>
        </is>
      </c>
      <c r="L27" s="3" t="inlineStr">
        <is>
          <t>2. Cart tải lại với banner "Sản phẩm vừa được cập nhật lại."; SP-A bỏ tick + Disable; SP-C vẫn được tick; SP-E vẫn bỏ tick; qty SP-C, SP-E không đổi</t>
        </is>
      </c>
      <c r="M27" s="3" t="inlineStr">
        <is>
          <t>Candidate</t>
        </is>
      </c>
      <c r="N27" s="3" t="inlineStr">
        <is>
          <t>Not Run</t>
        </is>
      </c>
      <c r="O27" s="3" t="inlineStr"/>
      <c r="P27" s="3" t="inlineStr">
        <is>
          <t>Ready</t>
        </is>
      </c>
      <c r="Q27" s="3" t="inlineStr"/>
      <c r="R27" s="3" t="inlineStr"/>
      <c r="S27" s="3" t="inlineStr"/>
      <c r="T27" s="3" t="inlineStr"/>
    </row>
    <row r="28">
      <c r="A28" s="3" t="inlineStr">
        <is>
          <t>TC-CART-027</t>
        </is>
      </c>
      <c r="B28" s="3" t="inlineStr">
        <is>
          <t>Giỏ hàng</t>
        </is>
      </c>
      <c r="C28" s="3" t="inlineStr">
        <is>
          <t>AC08</t>
        </is>
      </c>
      <c r="D28" s="3" t="inlineStr">
        <is>
          <t>Kiểm tra bấm Mua hàng lần 2 sau khi Cart đã cập nhật thì chuyển sang Checkout</t>
        </is>
      </c>
      <c r="E28" s="3" t="inlineStr">
        <is>
          <t>Functional</t>
        </is>
      </c>
      <c r="F28" s="3" t="inlineStr">
        <is>
          <t>Positive</t>
        </is>
      </c>
      <c r="G28" s="3" t="inlineStr">
        <is>
          <t>UC</t>
        </is>
      </c>
      <c r="H28" s="4" t="inlineStr">
        <is>
          <t>P1</t>
        </is>
      </c>
      <c r="I28" s="3" t="inlineStr">
        <is>
          <t>1. Theo SETUP-01 (customer01@test.com đã đăng nhập); thay đổi tồn kho theo SETUP-02
2. Cart có SP-A và SP-C còn hàng, đang được tick
3. Đang mở trang Giỏ hàng (không tải lại)</t>
        </is>
      </c>
      <c r="J28" s="3" t="inlineStr">
        <is>
          <t>SP-A: Saleable Qty 10 → 0; SP-C</t>
        </is>
      </c>
      <c r="K28" s="3" t="inlineStr">
        <is>
          <t>1. Admin cập nhật Saleable Qty SP-A = 0
2. Khách hàng nhấn nút "Mua hàng"
3. Nhấn nút "Mua hàng" lần nữa</t>
        </is>
      </c>
      <c r="L28" s="3" t="inlineStr">
        <is>
          <t>2. Cart tải lại với banner "Sản phẩm vừa được cập nhật lại.", SP-A bỏ tick + Disable
3. Chuyển tới trang Checkout chỉ với SP-C; không có SP-A</t>
        </is>
      </c>
      <c r="M28" s="3" t="inlineStr">
        <is>
          <t>Candidate</t>
        </is>
      </c>
      <c r="N28" s="3" t="inlineStr">
        <is>
          <t>Not Run</t>
        </is>
      </c>
      <c r="O28" s="3" t="inlineStr"/>
      <c r="P28" s="3" t="inlineStr">
        <is>
          <t>Ready</t>
        </is>
      </c>
      <c r="Q28" s="3" t="inlineStr"/>
      <c r="R28" s="3" t="inlineStr"/>
      <c r="S28" s="3" t="inlineStr"/>
      <c r="T28" s="3" t="inlineStr"/>
    </row>
    <row r="29">
      <c r="A29" s="3" t="inlineStr">
        <is>
          <t>TC-CART-028</t>
        </is>
      </c>
      <c r="B29" s="3" t="inlineStr">
        <is>
          <t>Giỏ hàng</t>
        </is>
      </c>
      <c r="C29" s="3" t="inlineStr">
        <is>
          <t>AC09</t>
        </is>
      </c>
      <c r="D29" s="3" t="inlineStr">
        <is>
          <t>Kiểm tra sản phẩm hết hàng vẫn còn trong Cart sau khi tải lại và rời trang</t>
        </is>
      </c>
      <c r="E29" s="3" t="inlineStr">
        <is>
          <t>Functional</t>
        </is>
      </c>
      <c r="F29" s="3" t="inlineStr">
        <is>
          <t>Positive</t>
        </is>
      </c>
      <c r="G29" s="3" t="inlineStr">
        <is>
          <t>ST</t>
        </is>
      </c>
      <c r="H29" s="6" t="inlineStr">
        <is>
          <t>P2</t>
        </is>
      </c>
      <c r="I29" s="3" t="inlineStr">
        <is>
          <t>1. Theo SETUP-01 (customer01@test.com đã đăng nhập); thay đổi tồn kho theo SETUP-02
2. Cart có SP-A (còn hàng) và SP-B (Saleable Qty = 0)</t>
        </is>
      </c>
      <c r="J29" s="3" t="inlineStr">
        <is>
          <t>SP-B (Saleable Qty = 0)</t>
        </is>
      </c>
      <c r="K29" s="3" t="inlineStr">
        <is>
          <t>1. Truy cập trang "Giỏ hàng"
2. Tải lại trang (F5) 2 lần
3. Đi tới Trang chủ rồi mở lại Giỏ hàng
4. Đăng xuất, đăng nhập lại customer01@test.com, mở Giỏ hàng</t>
        </is>
      </c>
      <c r="L29" s="3" t="inlineStr">
        <is>
          <t>4. Ở mọi bước SP-B vẫn hiển thị trong Cart, bỏ tick, checkbox Disable</t>
        </is>
      </c>
      <c r="M29" s="3" t="inlineStr">
        <is>
          <t>Candidate</t>
        </is>
      </c>
      <c r="N29" s="3" t="inlineStr">
        <is>
          <t>Not Run</t>
        </is>
      </c>
      <c r="O29" s="3" t="inlineStr"/>
      <c r="P29" s="3" t="inlineStr">
        <is>
          <t>Ready</t>
        </is>
      </c>
      <c r="Q29" s="3" t="inlineStr"/>
      <c r="R29" s="3" t="inlineStr"/>
      <c r="S29" s="3" t="inlineStr"/>
      <c r="T29" s="3" t="inlineStr"/>
    </row>
    <row r="30">
      <c r="A30" s="3" t="inlineStr">
        <is>
          <t>TC-CART-029</t>
        </is>
      </c>
      <c r="B30" s="3" t="inlineStr">
        <is>
          <t>Giỏ hàng</t>
        </is>
      </c>
      <c r="C30" s="3" t="inlineStr">
        <is>
          <t>AC09</t>
        </is>
      </c>
      <c r="D30" s="3" t="inlineStr">
        <is>
          <t>Kiểm tra checkbox được Enable lại khi sản phẩm hết hàng có hàng trở lại</t>
        </is>
      </c>
      <c r="E30" s="3" t="inlineStr">
        <is>
          <t>Functional</t>
        </is>
      </c>
      <c r="F30" s="3" t="inlineStr">
        <is>
          <t>Positive</t>
        </is>
      </c>
      <c r="G30" s="3" t="inlineStr">
        <is>
          <t>ST</t>
        </is>
      </c>
      <c r="H30" s="6" t="inlineStr">
        <is>
          <t>P2</t>
        </is>
      </c>
      <c r="I30" s="3" t="inlineStr">
        <is>
          <t>1. Theo SETUP-01 (customer01@test.com đã đăng nhập); thay đổi tồn kho theo SETUP-02
2. Cart có SP-A (còn hàng) và SP-B (Saleable Qty = 0)
3. Đang ở trang Giỏ hàng</t>
        </is>
      </c>
      <c r="J30" s="3" t="inlineStr">
        <is>
          <t>SP-B: Saleable Qty 0 → 10</t>
        </is>
      </c>
      <c r="K30" s="3" t="inlineStr">
        <is>
          <t>1. Admin cập nhật Saleable Qty SP-B = 10
2. Khách hàng tải lại trang Giỏ hàng
3. Tick SP-B
4. Nhấn nút "Mua hàng"</t>
        </is>
      </c>
      <c r="L30" s="3" t="inlineStr">
        <is>
          <t>2. Checkbox SP-B Enable; không còn thông báo "Sản phẩm hiện đang hết hàng"
3. SP-B được tick
4. Chuyển tới Checkout có SP-B</t>
        </is>
      </c>
      <c r="M30" s="3" t="inlineStr">
        <is>
          <t>Candidate</t>
        </is>
      </c>
      <c r="N30" s="3" t="inlineStr">
        <is>
          <t>Not Run</t>
        </is>
      </c>
      <c r="O30" s="3" t="inlineStr">
        <is>
          <t>[Giả định AS-04] [Cần xác nhận Q-06] tick lại tự động và vị trí hiển thị [Giả định AS-01] câu thông báo hết hàng</t>
        </is>
      </c>
      <c r="P30" s="5" t="inlineStr">
        <is>
          <t>Needs Clarification (Q-06, AS-01, AS-04)</t>
        </is>
      </c>
      <c r="Q30" s="3" t="inlineStr"/>
      <c r="R30" s="3" t="inlineStr"/>
      <c r="S30" s="3" t="inlineStr"/>
      <c r="T30" s="3" t="inlineStr"/>
    </row>
    <row r="31">
      <c r="A31" s="3" t="inlineStr">
        <is>
          <t>TC-CART-030</t>
        </is>
      </c>
      <c r="B31" s="3" t="inlineStr">
        <is>
          <t>Giỏ hàng</t>
        </is>
      </c>
      <c r="C31" s="3" t="inlineStr">
        <is>
          <t>AC09;AC03</t>
        </is>
      </c>
      <c r="D31" s="3" t="inlineStr">
        <is>
          <t>Kiểm tra khách hàng vẫn có thể tự xoá sản phẩm hết hàng khỏi Cart</t>
        </is>
      </c>
      <c r="E31" s="3" t="inlineStr">
        <is>
          <t>Functional</t>
        </is>
      </c>
      <c r="F31" s="3" t="inlineStr">
        <is>
          <t>Positive</t>
        </is>
      </c>
      <c r="G31" s="3" t="inlineStr">
        <is>
          <t>CRUD</t>
        </is>
      </c>
      <c r="H31" s="7" t="inlineStr">
        <is>
          <t>P3</t>
        </is>
      </c>
      <c r="I31" s="3" t="inlineStr">
        <is>
          <t>1. Theo SETUP-01 (customer01@test.com đã đăng nhập); thay đổi tồn kho theo SETUP-02
2. Cart có SP-A (còn hàng) và SP-B (Saleable Qty = 0)
3. Đang ở trang Giỏ hàng</t>
        </is>
      </c>
      <c r="J31" s="3" t="inlineStr">
        <is>
          <t>SP-B</t>
        </is>
      </c>
      <c r="K31" s="3" t="inlineStr">
        <is>
          <t>1. Nhấn icon xoá (thùng rác) trên dòng SP-B
2. Tải lại trang</t>
        </is>
      </c>
      <c r="L31" s="3" t="inlineStr">
        <is>
          <t>1. SP-B bị xoá khỏi danh sách Cart
2. SP-B không xuất hiện lại; SP-A không bị ảnh hưởng</t>
        </is>
      </c>
      <c r="M31" s="3" t="inlineStr">
        <is>
          <t>Candidate</t>
        </is>
      </c>
      <c r="N31" s="3" t="inlineStr">
        <is>
          <t>Not Run</t>
        </is>
      </c>
      <c r="O31" s="3" t="inlineStr"/>
      <c r="P31" s="3" t="inlineStr">
        <is>
          <t>Ready</t>
        </is>
      </c>
      <c r="Q31" s="3" t="inlineStr"/>
      <c r="R31" s="3" t="inlineStr"/>
      <c r="S31" s="3" t="inlineStr"/>
      <c r="T31" s="3" t="inlineStr"/>
    </row>
    <row r="32">
      <c r="A32" s="3" t="inlineStr">
        <is>
          <t>TC-CART-031</t>
        </is>
      </c>
      <c r="B32" s="3" t="inlineStr">
        <is>
          <t>Giỏ hàng</t>
        </is>
      </c>
      <c r="C32" s="3" t="inlineStr">
        <is>
          <t>AC10</t>
        </is>
      </c>
      <c r="D32" s="3" t="inlineStr">
        <is>
          <t>Kiểm tra sản phẩm hết hàng xuống cuối Cart và giữ thứ tự tương đối của hai nhóm</t>
        </is>
      </c>
      <c r="E32" s="3" t="inlineStr">
        <is>
          <t>Functional</t>
        </is>
      </c>
      <c r="F32" s="3" t="inlineStr">
        <is>
          <t>Positive</t>
        </is>
      </c>
      <c r="G32" s="3" t="inlineStr">
        <is>
          <t>ST</t>
        </is>
      </c>
      <c r="H32" s="6" t="inlineStr">
        <is>
          <t>P2</t>
        </is>
      </c>
      <c r="I32" s="3" t="inlineStr">
        <is>
          <t>1. Theo SETUP-01 (customer01@test.com đã đăng nhập); thay đổi tồn kho theo SETUP-02
2. Thêm vào Cart lần lượt: SP-A, SP-B, SP-C, SP-D, SP-E
3. SP-B, SP-D Saleable Qty = 0; SP-A, SP-C, SP-E còn hàng</t>
        </is>
      </c>
      <c r="J32" s="3" t="inlineStr">
        <is>
          <t>Thứ tự thêm: A, B, C, D, E</t>
        </is>
      </c>
      <c r="K32" s="3" t="inlineStr">
        <is>
          <t>1. Truy cập trang "Giỏ hàng"
2. Ghi lại thứ tự hiển thị</t>
        </is>
      </c>
      <c r="L32" s="3" t="inlineStr">
        <is>
          <t>2. Thứ tự hiển thị: SP-A, SP-C, SP-E, SP-B, SP-D (còn hàng giữ thứ tự A-C-E, hết hàng giữ thứ tự B-D)</t>
        </is>
      </c>
      <c r="M32" s="3" t="inlineStr">
        <is>
          <t>Candidate</t>
        </is>
      </c>
      <c r="N32" s="3" t="inlineStr">
        <is>
          <t>Not Run</t>
        </is>
      </c>
      <c r="O32" s="3" t="inlineStr">
        <is>
          <t>Mockup đặt SP hết hàng ở đầu — mâu thuẫn AC10 (xem analysis §12). Cần xác nhận thứ tự thêm = thứ tự hiển thị ban đầu</t>
        </is>
      </c>
      <c r="P32" s="3" t="inlineStr">
        <is>
          <t>Ready</t>
        </is>
      </c>
      <c r="Q32" s="3" t="inlineStr"/>
      <c r="R32" s="3" t="inlineStr"/>
      <c r="S32" s="3" t="inlineStr"/>
      <c r="T32" s="3" t="inlineStr"/>
    </row>
    <row r="33">
      <c r="A33" s="3" t="inlineStr">
        <is>
          <t>TC-CART-032</t>
        </is>
      </c>
      <c r="B33" s="3" t="inlineStr">
        <is>
          <t>Giỏ hàng</t>
        </is>
      </c>
      <c r="C33" s="3" t="inlineStr">
        <is>
          <t>AC10</t>
        </is>
      </c>
      <c r="D33" s="3" t="inlineStr">
        <is>
          <t>Kiểm tra sản phẩm còn hàng chuyển sang hết hàng thì tự chuyển xuống nhóm cuối Cart</t>
        </is>
      </c>
      <c r="E33" s="3" t="inlineStr">
        <is>
          <t>Functional</t>
        </is>
      </c>
      <c r="F33" s="3" t="inlineStr">
        <is>
          <t>Edge</t>
        </is>
      </c>
      <c r="G33" s="3" t="inlineStr">
        <is>
          <t>ST</t>
        </is>
      </c>
      <c r="H33" s="7" t="inlineStr">
        <is>
          <t>P3</t>
        </is>
      </c>
      <c r="I33" s="3" t="inlineStr">
        <is>
          <t>1. Theo SETUP-01 (customer01@test.com đã đăng nhập); thay đổi tồn kho theo SETUP-02
2. Cart hiển thị theo thứ tự: SP-A, SP-C, SP-E, SP-B, SP-D (SP-B, SP-D hết hàng)</t>
        </is>
      </c>
      <c r="J33" s="3" t="inlineStr">
        <is>
          <t>SP-C: Saleable Qty 10 → 0</t>
        </is>
      </c>
      <c r="K33" s="3" t="inlineStr">
        <is>
          <t>1. Admin cập nhật Saleable Qty SP-C = 0
2. Khách hàng tải lại trang Giỏ hàng</t>
        </is>
      </c>
      <c r="L33" s="3" t="inlineStr">
        <is>
          <t>2. SP-A, SP-E ở trên; SP-C chuyển xuống nhóm hết hàng phía dưới, bỏ tick, checkbox Disable</t>
        </is>
      </c>
      <c r="M33" s="3" t="inlineStr">
        <is>
          <t>Candidate</t>
        </is>
      </c>
      <c r="N33" s="3" t="inlineStr">
        <is>
          <t>Not Run</t>
        </is>
      </c>
      <c r="O33" s="3" t="inlineStr">
        <is>
          <t>[Cần xác nhận Q-11] SP-C đứng cuối cùng hay theo thứ tự ban đầu (B, C, D)</t>
        </is>
      </c>
      <c r="P33" s="5" t="inlineStr">
        <is>
          <t>Needs Clarification (Q-11)</t>
        </is>
      </c>
      <c r="Q33" s="3" t="inlineStr"/>
      <c r="R33" s="3" t="inlineStr"/>
      <c r="S33" s="3" t="inlineStr"/>
      <c r="T33" s="3" t="inlineStr"/>
    </row>
    <row r="34">
      <c r="A34" s="3" t="inlineStr">
        <is>
          <t>TC-CART-033</t>
        </is>
      </c>
      <c r="B34" s="3" t="inlineStr">
        <is>
          <t>Giỏ hàng</t>
        </is>
      </c>
      <c r="C34" s="3" t="inlineStr">
        <is>
          <t>IMP-01;AC02</t>
        </is>
      </c>
      <c r="D34" s="3" t="inlineStr">
        <is>
          <t>Kiểm tra Tóm tắt đơn hàng chỉ tính tiền sản phẩm còn hàng được tick</t>
        </is>
      </c>
      <c r="E34" s="3" t="inlineStr">
        <is>
          <t>Functional</t>
        </is>
      </c>
      <c r="F34" s="3" t="inlineStr">
        <is>
          <t>Positive</t>
        </is>
      </c>
      <c r="G34" s="3" t="inlineStr">
        <is>
          <t>EG</t>
        </is>
      </c>
      <c r="H34" s="6" t="inlineStr">
        <is>
          <t>P2</t>
        </is>
      </c>
      <c r="I34" s="3" t="inlineStr">
        <is>
          <t>1. Theo SETUP-01 (customer01@test.com đã đăng nhập); thay đổi tồn kho theo SETUP-02
2. Cart có SP-A (15.780.000 ₫, qty 2), SP-C (tạm tính 3.318.000 ₫, qty 1) còn hàng và SP-B (36.280.000 ₫, qty 1) hết hàng
3. SP-A và SP-C được tick</t>
        </is>
      </c>
      <c r="J34" s="3" t="inlineStr">
        <is>
          <t>SP-A 15.780.000 ₫ × 2; SP-C 3.318.000 ₫ × 1; SP-B 36.280.000 ₫ (OOS)</t>
        </is>
      </c>
      <c r="K34" s="3" t="inlineStr">
        <is>
          <t>1. Truy cập trang "Giỏ hàng"
2. Bỏ tick SP-C</t>
        </is>
      </c>
      <c r="L34" s="3" t="inlineStr">
        <is>
          <t>1. Khung "TÓM TẮT ĐƠN HÀNG" hiển thị "TỔNG (3 SẢN PHẨM)" = 34.878.000 ₫ (2 × 15.780.000 + 3.318.000; không cộng SP-B). Nếu hệ thống đếm theo dòng sẽ hiển thị 2 — chênh lệch này là mục đích của dữ liệu
2. Cập nhật thành "TỔNG (2 SẢN PHẨM)" = 31.560.000 ₫</t>
        </is>
      </c>
      <c r="M34" s="3" t="inlineStr">
        <is>
          <t>Candidate</t>
        </is>
      </c>
      <c r="N34" s="3" t="inlineStr">
        <is>
          <t>Not Run</t>
        </is>
      </c>
      <c r="O34" s="3" t="inlineStr">
        <is>
          <t>[Giả định AS-05] [Cần xác nhận Q-07] cách đếm N và có tính quà tặng không (DEV-3745)</t>
        </is>
      </c>
      <c r="P34" s="5" t="inlineStr">
        <is>
          <t>Needs Clarification (Q-07, AS-05, IMP-01)</t>
        </is>
      </c>
      <c r="Q34" s="3" t="inlineStr"/>
      <c r="R34" s="3" t="inlineStr"/>
      <c r="S34" s="3" t="inlineStr"/>
      <c r="T34" s="3" t="inlineStr"/>
    </row>
    <row r="35">
      <c r="A35" s="3" t="inlineStr">
        <is>
          <t>TC-CART-034</t>
        </is>
      </c>
      <c r="B35" s="3" t="inlineStr">
        <is>
          <t>Giỏ hàng</t>
        </is>
      </c>
      <c r="C35" s="3" t="inlineStr">
        <is>
          <t>IMP-01</t>
        </is>
      </c>
      <c r="D35" s="3" t="inlineStr">
        <is>
          <t>Kiểm tra Tóm tắt đơn hàng khi bỏ tick toàn bộ sản phẩm</t>
        </is>
      </c>
      <c r="E35" s="3" t="inlineStr">
        <is>
          <t>Functional</t>
        </is>
      </c>
      <c r="F35" s="3" t="inlineStr">
        <is>
          <t>Negative</t>
        </is>
      </c>
      <c r="G35" s="3" t="inlineStr">
        <is>
          <t>EG</t>
        </is>
      </c>
      <c r="H35" s="6" t="inlineStr">
        <is>
          <t>P2</t>
        </is>
      </c>
      <c r="I35" s="3" t="inlineStr">
        <is>
          <t>1. Theo SETUP-01 (customer01@test.com đã đăng nhập); thay đổi tồn kho theo SETUP-02
2. Cart có SP-A, SP-C còn hàng đang được tick</t>
        </is>
      </c>
      <c r="J35" s="3" t="inlineStr">
        <is>
          <t>SP-A, SP-C</t>
        </is>
      </c>
      <c r="K35" s="3" t="inlineStr">
        <is>
          <t>1. Bỏ tick SP-A
2. Bỏ tick SP-C</t>
        </is>
      </c>
      <c r="L35" s="3" t="inlineStr">
        <is>
          <t>2. "TỔNG (0 SẢN PHẨM)", tổng tiền 0 ₫; nút "Mua hàng" Disable; khung tóm tắt vẫn hiển thị đầy đủ các dòng</t>
        </is>
      </c>
      <c r="M35" s="3" t="inlineStr">
        <is>
          <t>Candidate</t>
        </is>
      </c>
      <c r="N35" s="3" t="inlineStr">
        <is>
          <t>Not Run</t>
        </is>
      </c>
      <c r="O35" s="3" t="inlineStr">
        <is>
          <t>Liên quan DEV-3746, DEV-3770 nhưng KHÔNG tái hiện điều kiện quà tặng / Set của 2 bug (xem CO-44, CO-45) [Cần xác nhận Q-07] hiển thị mong đợi khi không chọn SP nào</t>
        </is>
      </c>
      <c r="P35" s="5" t="inlineStr">
        <is>
          <t>Needs Clarification (Q-07, IMP-01)</t>
        </is>
      </c>
      <c r="Q35" s="3" t="inlineStr"/>
      <c r="R35" s="3" t="inlineStr"/>
      <c r="S35" s="3" t="inlineStr"/>
      <c r="T35" s="3" t="inlineStr"/>
    </row>
    <row r="36">
      <c r="A36" s="3" t="inlineStr">
        <is>
          <t>TC-CART-035</t>
        </is>
      </c>
      <c r="B36" s="3" t="inlineStr">
        <is>
          <t>Giỏ hàng</t>
        </is>
      </c>
      <c r="C36" s="3" t="inlineStr">
        <is>
          <t>IMP-02;AC09</t>
        </is>
      </c>
      <c r="D36" s="3" t="inlineStr">
        <is>
          <t>Kiểm tra sản phẩm không được chọn vẫn nằm lại trong Cart sau khi đặt hàng thành công</t>
        </is>
      </c>
      <c r="E36" s="3" t="inlineStr">
        <is>
          <t>Integration</t>
        </is>
      </c>
      <c r="F36" s="3" t="inlineStr">
        <is>
          <t>Positive</t>
        </is>
      </c>
      <c r="G36" s="3" t="inlineStr">
        <is>
          <t>UC</t>
        </is>
      </c>
      <c r="H36" s="4" t="inlineStr">
        <is>
          <t>P1</t>
        </is>
      </c>
      <c r="I36" s="3" t="inlineStr">
        <is>
          <t>1. Theo SETUP-01 (customer01@test.com đã đăng nhập); thay đổi tồn kho theo SETUP-02
2. Cart có SP-A, SP-C (còn hàng), SP-B (Saleable Qty = 0)
3. Chỉ SP-A được tick, SP-C bỏ tick
4. Có phương thức thanh toán COD trên môi trường test</t>
        </is>
      </c>
      <c r="J36" s="3" t="inlineStr">
        <is>
          <t>Thanh toán: COD</t>
        </is>
      </c>
      <c r="K36" s="3" t="inlineStr">
        <is>
          <t>1. Nhấn nút "Mua hàng"
2. Hoàn tất đặt hàng ở trang Checkout bằng COD
3. Mở lại trang Giỏ hàng</t>
        </is>
      </c>
      <c r="L36" s="3" t="inlineStr">
        <is>
          <t>2. Đặt hàng thành công, đơn hàng chỉ gồm SP-A
3. Cart còn SP-C (qty 1) và SP-B (hết hàng); không còn SP-A</t>
        </is>
      </c>
      <c r="M36" s="3" t="inlineStr">
        <is>
          <t>Candidate</t>
        </is>
      </c>
      <c r="N36" s="3" t="inlineStr">
        <is>
          <t>Not Run</t>
        </is>
      </c>
      <c r="O36" s="3" t="inlineStr">
        <is>
          <t>Theo DEV-3654 (quote-save / leftover). Cần xác nhận SP-C ở trạng thái tick hay không sau khi đặt hàng</t>
        </is>
      </c>
      <c r="P36" s="5" t="inlineStr">
        <is>
          <t>Needs Clarification (IMP-02)</t>
        </is>
      </c>
      <c r="Q36" s="3" t="inlineStr"/>
      <c r="R36" s="3" t="inlineStr"/>
      <c r="S36" s="3" t="inlineStr"/>
      <c r="T36" s="3" t="inlineStr"/>
    </row>
    <row r="37">
      <c r="A37" s="3" t="inlineStr">
        <is>
          <t>TC-CART-036</t>
        </is>
      </c>
      <c r="B37" s="3" t="inlineStr">
        <is>
          <t>Giỏ hàng</t>
        </is>
      </c>
      <c r="C37" s="3" t="inlineStr">
        <is>
          <t>IMP-03;AC05</t>
        </is>
      </c>
      <c r="D37" s="3" t="inlineStr">
        <is>
          <t>Kiểm tra mini-cart vẫn hiển thị sản phẩm khi tất cả sản phẩm trong Cart đều hết hàng</t>
        </is>
      </c>
      <c r="E37" s="3" t="inlineStr">
        <is>
          <t>Integration</t>
        </is>
      </c>
      <c r="F37" s="3" t="inlineStr">
        <is>
          <t>Edge</t>
        </is>
      </c>
      <c r="G37" s="3" t="inlineStr">
        <is>
          <t>EG</t>
        </is>
      </c>
      <c r="H37" s="7" t="inlineStr">
        <is>
          <t>P3</t>
        </is>
      </c>
      <c r="I37" s="3" t="inlineStr">
        <is>
          <t>1. Theo SETUP-01 (customer01@test.com đã đăng nhập); thay đổi tồn kho theo SETUP-02
2. Cart chỉ có SP-B và SP-D, cả hai Saleable Qty = 0</t>
        </is>
      </c>
      <c r="J37" s="3" t="inlineStr">
        <is>
          <t>SP-B, SP-D (Saleable Qty = 0)</t>
        </is>
      </c>
      <c r="K37" s="3" t="inlineStr">
        <is>
          <t>1. Ở Trang chủ, mở mini-cart (icon giỏ hàng trên header)</t>
        </is>
      </c>
      <c r="L37" s="3" t="inlineStr">
        <is>
          <t>1. Mini-cart liệt kê SP-B và SP-D ở trạng thái hết hàng, không hiển thị giỏ trống</t>
        </is>
      </c>
      <c r="M37" s="3" t="inlineStr">
        <is>
          <t>Candidate</t>
        </is>
      </c>
      <c r="N37" s="3" t="inlineStr">
        <is>
          <t>Not Run</t>
        </is>
      </c>
      <c r="O37" s="3" t="inlineStr">
        <is>
          <t>Regression DEV-3768 [Cần xác nhận Q-08] giá trị badge và cách hiển thị SP hết hàng trong mini-cart</t>
        </is>
      </c>
      <c r="P37" s="5" t="inlineStr">
        <is>
          <t>Needs Clarification (Q-08, IMP-03)</t>
        </is>
      </c>
      <c r="Q37" s="3" t="inlineStr"/>
      <c r="R37" s="3" t="inlineStr"/>
      <c r="S37" s="3" t="inlineStr"/>
      <c r="T37" s="3" t="inlineStr"/>
    </row>
    <row r="38">
      <c r="A38" s="3" t="inlineStr">
        <is>
          <t>TC-CART-037</t>
        </is>
      </c>
      <c r="B38" s="3" t="inlineStr">
        <is>
          <t>Giỏ hàng</t>
        </is>
      </c>
      <c r="C38" s="3" t="inlineStr">
        <is>
          <t>IMP-04;AC02</t>
        </is>
      </c>
      <c r="D38" s="3" t="inlineStr">
        <is>
          <t>Kiểm tra sản phẩm hết hàng chỉ hiển thị một thông báo sau nhiều lần tải lại trang</t>
        </is>
      </c>
      <c r="E38" s="3" t="inlineStr">
        <is>
          <t>UI</t>
        </is>
      </c>
      <c r="F38" s="3" t="inlineStr">
        <is>
          <t>Edge</t>
        </is>
      </c>
      <c r="G38" s="3" t="inlineStr">
        <is>
          <t>EG</t>
        </is>
      </c>
      <c r="H38" s="7" t="inlineStr">
        <is>
          <t>P3</t>
        </is>
      </c>
      <c r="I38" s="3" t="inlineStr">
        <is>
          <t>1. Theo SETUP-01 (customer01@test.com đã đăng nhập); thay đổi tồn kho theo SETUP-02
2. Cart có SP-A (còn hàng) và SP-B (Saleable Qty = 0)</t>
        </is>
      </c>
      <c r="J38" s="3" t="inlineStr">
        <is>
          <t>SP-B (Saleable Qty = 0)</t>
        </is>
      </c>
      <c r="K38" s="3" t="inlineStr">
        <is>
          <t>1. Truy cập trang "Giỏ hàng"
2. Tải lại trang (F5) 3 lần</t>
        </is>
      </c>
      <c r="L38" s="3" t="inlineStr">
        <is>
          <t>2. Sau mỗi lần tải lại, dưới SP-B chỉ có đúng 1 thông báo "Sản phẩm hiện đang hết hàng"; không xuất hiện thêm "Số lượng sản phẩm không có sẵn."</t>
        </is>
      </c>
      <c r="M38" s="3" t="inlineStr">
        <is>
          <t>Candidate</t>
        </is>
      </c>
      <c r="N38" s="3" t="inlineStr">
        <is>
          <t>Not Run</t>
        </is>
      </c>
      <c r="O38" s="3" t="inlineStr">
        <is>
          <t>Regression DEV-3766 [Cần xác nhận Q-01] [Giả định AS-01] câu thông báo hết hàng</t>
        </is>
      </c>
      <c r="P38" s="5" t="inlineStr">
        <is>
          <t>Needs Clarification (Q-01, AS-01, IMP-04)</t>
        </is>
      </c>
      <c r="Q38" s="3" t="inlineStr"/>
      <c r="R38" s="3" t="inlineStr"/>
      <c r="S38" s="3" t="inlineStr"/>
      <c r="T38" s="3" t="inlineStr"/>
    </row>
    <row r="39">
      <c r="A39" s="3" t="inlineStr">
        <is>
          <t>TC-CART-038</t>
        </is>
      </c>
      <c r="B39" s="3" t="inlineStr">
        <is>
          <t>Giỏ hàng</t>
        </is>
      </c>
      <c r="C39" s="3" t="inlineStr">
        <is>
          <t>IMP-05</t>
        </is>
      </c>
      <c r="D39" s="3" t="inlineStr">
        <is>
          <t>Kiểm tra double-click nút Mua hàng chỉ chuyển sang Checkout một lần với đúng sản phẩm</t>
        </is>
      </c>
      <c r="E39" s="3" t="inlineStr">
        <is>
          <t>Functional</t>
        </is>
      </c>
      <c r="F39" s="3" t="inlineStr">
        <is>
          <t>Edge</t>
        </is>
      </c>
      <c r="G39" s="3" t="inlineStr">
        <is>
          <t>EG</t>
        </is>
      </c>
      <c r="H39" s="7" t="inlineStr">
        <is>
          <t>P3</t>
        </is>
      </c>
      <c r="I39" s="3" t="inlineStr">
        <is>
          <t>1. Theo SETUP-01 (customer01@test.com đã đăng nhập); thay đổi tồn kho theo SETUP-02
2. Cart có SP-A (qty 1) còn hàng, đang được tick</t>
        </is>
      </c>
      <c r="J39" s="3" t="inlineStr">
        <is>
          <t>SP-A qty 1</t>
        </is>
      </c>
      <c r="K39" s="3" t="inlineStr">
        <is>
          <t>1. Double-click nhanh nút "Mua hàng"</t>
        </is>
      </c>
      <c r="L39" s="3" t="inlineStr">
        <is>
          <t>1. Chuyển tới trang Checkout một lần, không hiển thị lỗi; danh sách có SP-A qty 1 (không bị nhân đôi)</t>
        </is>
      </c>
      <c r="M39" s="3" t="inlineStr">
        <is>
          <t>Candidate</t>
        </is>
      </c>
      <c r="N39" s="3" t="inlineStr">
        <is>
          <t>Not Run</t>
        </is>
      </c>
      <c r="O39" s="3" t="inlineStr"/>
      <c r="P39" s="5" t="inlineStr">
        <is>
          <t>Needs Clarification (IMP-05)</t>
        </is>
      </c>
      <c r="Q39" s="3" t="inlineStr"/>
      <c r="R39" s="3" t="inlineStr"/>
      <c r="S39" s="3" t="inlineStr"/>
      <c r="T39" s="3" t="inlineStr"/>
    </row>
    <row r="40">
      <c r="A40" s="3" t="inlineStr">
        <is>
          <t>TC-CART-039</t>
        </is>
      </c>
      <c r="B40" s="3" t="inlineStr">
        <is>
          <t>Giỏ hàng</t>
        </is>
      </c>
      <c r="C40" s="3" t="inlineStr">
        <is>
          <t>AC02</t>
        </is>
      </c>
      <c r="D40" s="3" t="inlineStr">
        <is>
          <t>Kiểm tra hiển thị thông báo hết hàng theo mockup bên dưới thông tin sản phẩm</t>
        </is>
      </c>
      <c r="E40" s="3" t="inlineStr">
        <is>
          <t>UI</t>
        </is>
      </c>
      <c r="F40" s="3" t="inlineStr">
        <is>
          <t>Positive</t>
        </is>
      </c>
      <c r="G40" s="3" t="inlineStr">
        <is>
          <t>CL</t>
        </is>
      </c>
      <c r="H40" s="8" t="inlineStr">
        <is>
          <t>P4</t>
        </is>
      </c>
      <c r="I40" s="3" t="inlineStr">
        <is>
          <t>1. Theo SETUP-01 (customer01@test.com đã đăng nhập); thay đổi tồn kho theo SETUP-02
2. Cart có SP-B (Saleable Qty = 0)</t>
        </is>
      </c>
      <c r="J40" s="3" t="inlineStr">
        <is>
          <t>SP-B</t>
        </is>
      </c>
      <c r="K40" s="3" t="inlineStr">
        <is>
          <t>1. Truy cập trang "Giỏ hàng"
2. So sánh dòng SP-B với mockup image-20260812-035015.png</t>
        </is>
      </c>
      <c r="L40" s="3" t="inlineStr">
        <is>
          <t>2. Thông báo nằm trong hộp nền đỏ nhạt có icon cảnh báo, ngay dưới dòng size/màu của SP-B, không che nút yêu thích / sửa / xoá</t>
        </is>
      </c>
      <c r="M40" s="3" t="inlineStr">
        <is>
          <t>No</t>
        </is>
      </c>
      <c r="N40" s="3" t="inlineStr">
        <is>
          <t>Not Run</t>
        </is>
      </c>
      <c r="O40" s="3" t="inlineStr">
        <is>
          <t>Đối chiếu thêm ảnh image-20260923-104852.png (chưa xem được)</t>
        </is>
      </c>
      <c r="P40" s="3" t="inlineStr">
        <is>
          <t>Ready</t>
        </is>
      </c>
      <c r="Q40" s="3" t="inlineStr"/>
      <c r="R40" s="3" t="inlineStr"/>
      <c r="S40" s="3" t="inlineStr"/>
      <c r="T40" s="3" t="inlineStr"/>
    </row>
  </sheetData>
  <autoFilter ref="A1:T40"/>
  <dataValidations count="6">
    <dataValidation sqref="N2:N540" showDropDown="0" showInputMessage="0" showErrorMessage="0" allowBlank="1" type="list">
      <formula1>"Blocked,Fail,Not Run,Obsolete,Pass,Skipped"</formula1>
    </dataValidation>
    <dataValidation sqref="H2:H540" showDropDown="0" showInputMessage="0" showErrorMessage="0" allowBlank="1" type="list">
      <formula1>"P1,P2,P3,P4"</formula1>
    </dataValidation>
    <dataValidation sqref="F2:F540" showDropDown="0" showInputMessage="0" showErrorMessage="0" allowBlank="1" type="list">
      <formula1>"Boundary,Edge,Negative,Positive"</formula1>
    </dataValidation>
    <dataValidation sqref="E2:E540" showDropDown="0" showInputMessage="0" showErrorMessage="0" allowBlank="1" type="list">
      <formula1>"API,Accessibility,Compatibility,Functional,Integration,Performance,Security,UI,Usability,Validation"</formula1>
    </dataValidation>
    <dataValidation sqref="G2:G540" showDropDown="0" showInputMessage="0" showErrorMessage="0" allowBlank="1" type="list">
      <formula1>"BVA,CL,CRUD,DT,EG,EP,PERM,PW,ST,UC"</formula1>
    </dataValidation>
    <dataValidation sqref="M2:M540" showDropDown="0" showInputMessage="0" showErrorMessage="0" allowBlank="1" type="list">
      <formula1>"Candidate,No,Yes"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9" t="inlineStr">
        <is>
          <t>Tổng hợp — DEV-3648</t>
        </is>
      </c>
    </row>
    <row r="3">
      <c r="A3" s="10" t="inlineStr">
        <is>
          <t>Status</t>
        </is>
      </c>
      <c r="B3" s="10" t="inlineStr">
        <is>
          <t>Số lượng</t>
        </is>
      </c>
    </row>
    <row r="4">
      <c r="A4" t="inlineStr">
        <is>
          <t>Blocked</t>
        </is>
      </c>
      <c r="B4">
        <f>COUNTIF('Test Cases'!N2:N540,"Blocked")</f>
        <v/>
      </c>
    </row>
    <row r="5">
      <c r="A5" t="inlineStr">
        <is>
          <t>Fail</t>
        </is>
      </c>
      <c r="B5">
        <f>COUNTIF('Test Cases'!N2:N540,"Fail")</f>
        <v/>
      </c>
    </row>
    <row r="6">
      <c r="A6" t="inlineStr">
        <is>
          <t>Not Run</t>
        </is>
      </c>
      <c r="B6">
        <f>COUNTIF('Test Cases'!N2:N540,"Not Run")</f>
        <v/>
      </c>
    </row>
    <row r="7">
      <c r="A7" t="inlineStr">
        <is>
          <t>Obsolete</t>
        </is>
      </c>
      <c r="B7">
        <f>COUNTIF('Test Cases'!N2:N540,"Obsolete")</f>
        <v/>
      </c>
    </row>
    <row r="8">
      <c r="A8" t="inlineStr">
        <is>
          <t>Pass</t>
        </is>
      </c>
      <c r="B8">
        <f>COUNTIF('Test Cases'!N2:N540,"Pass")</f>
        <v/>
      </c>
    </row>
    <row r="9">
      <c r="A9" t="inlineStr">
        <is>
          <t>Skipped</t>
        </is>
      </c>
      <c r="B9">
        <f>COUNTIF('Test Cases'!N2:N540,"Skipped")</f>
        <v/>
      </c>
    </row>
    <row r="11">
      <c r="A11" s="10" t="inlineStr">
        <is>
          <t>Design_Status</t>
        </is>
      </c>
      <c r="B11" s="10" t="inlineStr">
        <is>
          <t>Số lượng</t>
        </is>
      </c>
    </row>
    <row r="12">
      <c r="A12" t="inlineStr">
        <is>
          <t>Ready</t>
        </is>
      </c>
      <c r="B12">
        <f>COUNTIF('Test Cases'!P2:P540,"Ready")</f>
        <v/>
      </c>
    </row>
    <row r="13">
      <c r="A13" t="inlineStr">
        <is>
          <t>Needs Clarification</t>
        </is>
      </c>
      <c r="B13">
        <f>COUNTIF('Test Cases'!P2:P540,"Needs Clarification*")</f>
        <v/>
      </c>
    </row>
    <row r="14">
      <c r="A14" t="inlineStr">
        <is>
          <t>Obsolete</t>
        </is>
      </c>
      <c r="B14">
        <f>COUNTIF('Test Cases'!P2:P540,"Obsolete")</f>
        <v/>
      </c>
    </row>
    <row r="16">
      <c r="A16" s="10" t="inlineStr">
        <is>
          <t>Priority</t>
        </is>
      </c>
      <c r="B16" s="10" t="inlineStr">
        <is>
          <t>Số lượng</t>
        </is>
      </c>
    </row>
    <row r="17">
      <c r="A17" t="inlineStr">
        <is>
          <t>P1</t>
        </is>
      </c>
      <c r="B17">
        <f>COUNTIF('Test Cases'!H2:H540,"P1")</f>
        <v/>
      </c>
    </row>
    <row r="18">
      <c r="A18" t="inlineStr">
        <is>
          <t>P2</t>
        </is>
      </c>
      <c r="B18">
        <f>COUNTIF('Test Cases'!H2:H540,"P2")</f>
        <v/>
      </c>
    </row>
    <row r="19">
      <c r="A19" t="inlineStr">
        <is>
          <t>P3</t>
        </is>
      </c>
      <c r="B19">
        <f>COUNTIF('Test Cases'!H2:H540,"P3")</f>
        <v/>
      </c>
    </row>
    <row r="20">
      <c r="A20" t="inlineStr">
        <is>
          <t>P4</t>
        </is>
      </c>
      <c r="B20">
        <f>COUNTIF('Test Cases'!H2:H540,"P4")</f>
        <v/>
      </c>
    </row>
    <row r="22">
      <c r="A22" s="10" t="inlineStr">
        <is>
          <t>Scenario</t>
        </is>
      </c>
      <c r="B22" s="10" t="inlineStr">
        <is>
          <t>Số lượng</t>
        </is>
      </c>
    </row>
    <row r="23">
      <c r="A23" t="inlineStr">
        <is>
          <t>Boundary</t>
        </is>
      </c>
      <c r="B23">
        <f>COUNTIF('Test Cases'!F2:F540,"Boundary")</f>
        <v/>
      </c>
    </row>
    <row r="24">
      <c r="A24" t="inlineStr">
        <is>
          <t>Edge</t>
        </is>
      </c>
      <c r="B24">
        <f>COUNTIF('Test Cases'!F2:F540,"Edge")</f>
        <v/>
      </c>
    </row>
    <row r="25">
      <c r="A25" t="inlineStr">
        <is>
          <t>Negative</t>
        </is>
      </c>
      <c r="B25">
        <f>COUNTIF('Test Cases'!F2:F540,"Negative")</f>
        <v/>
      </c>
    </row>
    <row r="26">
      <c r="A26" t="inlineStr">
        <is>
          <t>Positive</t>
        </is>
      </c>
      <c r="B26">
        <f>COUNTIF('Test Cases'!F2:F540,"Positive")</f>
        <v/>
      </c>
    </row>
    <row r="28">
      <c r="A28" s="10" t="inlineStr">
        <is>
          <t>Test_Type</t>
        </is>
      </c>
      <c r="B28" s="10" t="inlineStr">
        <is>
          <t>Số lượng</t>
        </is>
      </c>
    </row>
    <row r="29">
      <c r="A29" t="inlineStr">
        <is>
          <t>Functional</t>
        </is>
      </c>
      <c r="B29">
        <f>COUNTIF('Test Cases'!E2:E540,"Functional")</f>
        <v/>
      </c>
    </row>
    <row r="30">
      <c r="A30" t="inlineStr">
        <is>
          <t>Integration</t>
        </is>
      </c>
      <c r="B30">
        <f>COUNTIF('Test Cases'!E2:E540,"Integration")</f>
        <v/>
      </c>
    </row>
    <row r="31">
      <c r="A31" t="inlineStr">
        <is>
          <t>Security</t>
        </is>
      </c>
      <c r="B31">
        <f>COUNTIF('Test Cases'!E2:E540,"Security")</f>
        <v/>
      </c>
    </row>
    <row r="32">
      <c r="A32" t="inlineStr">
        <is>
          <t>UI</t>
        </is>
      </c>
      <c r="B32">
        <f>COUNTIF('Test Cases'!E2:E540,"UI")</f>
        <v/>
      </c>
    </row>
    <row r="33">
      <c r="A33" t="inlineStr">
        <is>
          <t>Validation</t>
        </is>
      </c>
      <c r="B33">
        <f>COUNTIF('Test Cases'!E2:E540,"Validation")</f>
        <v/>
      </c>
    </row>
    <row r="35">
      <c r="A35" s="10" t="inlineStr">
        <is>
          <t>Module</t>
        </is>
      </c>
      <c r="B35" s="10" t="inlineStr">
        <is>
          <t>Số lượng</t>
        </is>
      </c>
    </row>
    <row r="36">
      <c r="A36" t="inlineStr">
        <is>
          <t>Giỏ hàng</t>
        </is>
      </c>
      <c r="B36">
        <f>COUNTIF('Test Cases'!B2:B540,"Giỏ hàng")</f>
        <v/>
      </c>
    </row>
    <row r="38">
      <c r="A38" s="10" t="inlineStr">
        <is>
          <t>Tổng</t>
        </is>
      </c>
      <c r="B38">
        <f>COUNTA('Test Cases'!A2:A540)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50" customWidth="1" min="4" max="4"/>
    <col width="16" customWidth="1" min="5" max="5"/>
  </cols>
  <sheetData>
    <row r="1">
      <c r="A1" s="1" t="inlineStr">
        <is>
          <t>Req_ID</t>
        </is>
      </c>
      <c r="B1" s="1" t="inlineStr">
        <is>
          <t>Mô tả</t>
        </is>
      </c>
      <c r="C1" s="1" t="inlineStr">
        <is>
          <t>Số TC</t>
        </is>
      </c>
      <c r="D1" s="1" t="inlineStr">
        <is>
          <t>Test cases</t>
        </is>
      </c>
      <c r="E1" s="1" t="inlineStr">
        <is>
          <t>Trạng thái</t>
        </is>
      </c>
    </row>
    <row r="2">
      <c r="A2" s="3" t="inlineStr">
        <is>
          <t>AC01</t>
        </is>
      </c>
      <c r="B2" s="3" t="inlineStr">
        <is>
          <t>SP còn hàng tick/un-tick được; SP được tick vào Checkout; khách tiếp tục Checkout với SP đã chọn</t>
        </is>
      </c>
      <c r="C2" s="3" t="n">
        <v>4</v>
      </c>
      <c r="D2" s="3" t="inlineStr">
        <is>
          <t>TC-CART-001, TC-CART-002, TC-CART-003, TC-CART-011</t>
        </is>
      </c>
      <c r="E2" s="3" t="inlineStr">
        <is>
          <t>Covered</t>
        </is>
      </c>
    </row>
    <row r="3">
      <c r="A3" s="3" t="inlineStr">
        <is>
          <t>AC02</t>
        </is>
      </c>
      <c r="B3" s="3" t="inlineStr">
        <is>
          <t>SP OOS tự bỏ tick, checkbox Disable, không vào Checkout, giữ trong Cart, hiện "Sản phẩm hiện đang hết hàng" bên dưới</t>
        </is>
      </c>
      <c r="C3" s="3" t="n">
        <v>7</v>
      </c>
      <c r="D3" s="3" t="inlineStr">
        <is>
          <t>TC-CART-004, TC-CART-005, TC-CART-006, TC-CART-007, TC-CART-033, TC-CART-037, TC-CART-039</t>
        </is>
      </c>
      <c r="E3" s="3" t="inlineStr">
        <is>
          <t>Covered</t>
        </is>
      </c>
    </row>
    <row r="4">
      <c r="A4" s="3" t="inlineStr">
        <is>
          <t>AC03</t>
        </is>
      </c>
      <c r="B4" s="3" t="inlineStr">
        <is>
          <t>Cart A (còn) – B (OOS) – C (còn): chỉ A/C được chọn và sang Checkout, không cần xoá B</t>
        </is>
      </c>
      <c r="C4" s="3" t="n">
        <v>4</v>
      </c>
      <c r="D4" s="3" t="inlineStr">
        <is>
          <t>TC-CART-005, TC-CART-008, TC-CART-009, TC-CART-030</t>
        </is>
      </c>
      <c r="E4" s="3" t="inlineStr">
        <is>
          <t>Covered</t>
        </is>
      </c>
    </row>
    <row r="5">
      <c r="A5" s="3" t="inlineStr">
        <is>
          <t>AC04</t>
        </is>
      </c>
      <c r="B5" s="3" t="inlineStr">
        <is>
          <t>Nút "Mua hàng" Enable khi ≥1 SP còn hàng được tick, ngược lại Disable</t>
        </is>
      </c>
      <c r="C5" s="3" t="n">
        <v>5</v>
      </c>
      <c r="D5" s="3" t="inlineStr">
        <is>
          <t>TC-CART-005, TC-CART-010, TC-CART-011, TC-CART-012, TC-CART-013</t>
        </is>
      </c>
      <c r="E5" s="3" t="inlineStr">
        <is>
          <t>Covered</t>
        </is>
      </c>
    </row>
    <row r="6">
      <c r="A6" s="3" t="inlineStr">
        <is>
          <t>AC05</t>
        </is>
      </c>
      <c r="B6" s="3" t="inlineStr">
        <is>
          <t>Tất cả SP OOS: uncheck + Disable, giữ trong Cart, thông báo dưới từng SP, nút "Mua hàng" Disable, không thể Checkout</t>
        </is>
      </c>
      <c r="C6" s="3" t="n">
        <v>4</v>
      </c>
      <c r="D6" s="3" t="inlineStr">
        <is>
          <t>TC-CART-013, TC-CART-014, TC-CART-015, TC-CART-036</t>
        </is>
      </c>
      <c r="E6" s="3" t="inlineStr">
        <is>
          <t>Covered</t>
        </is>
      </c>
    </row>
    <row r="7">
      <c r="A7" s="3" t="inlineStr">
        <is>
          <t>AC06</t>
        </is>
      </c>
      <c r="B7" s="3" t="inlineStr">
        <is>
          <t>Tồn kho giảm thấp hơn qty đang chọn: tự đưa qty về Saleable Qty, giữ tick, hiện "Sản phẩm này chỉ còn số lượng là 1", cho checkout tiếp</t>
        </is>
      </c>
      <c r="C7" s="3" t="n">
        <v>3</v>
      </c>
      <c r="D7" s="3" t="inlineStr">
        <is>
          <t>TC-CART-016, TC-CART-017, TC-CART-018</t>
        </is>
      </c>
      <c r="E7" s="3" t="inlineStr">
        <is>
          <t>Covered</t>
        </is>
      </c>
    </row>
    <row r="8">
      <c r="A8" s="3" t="inlineStr">
        <is>
          <t>AC07</t>
        </is>
      </c>
      <c r="B8" s="3" t="inlineStr">
        <is>
          <t>Khách đổi qty: ≤ Saleable Qty giữ nguyên; &gt; Saleable Qty tự về Saleable Qty + thông báo, giữ tick</t>
        </is>
      </c>
      <c r="C8" s="3" t="n">
        <v>4</v>
      </c>
      <c r="D8" s="3" t="inlineStr">
        <is>
          <t>TC-CART-019, TC-CART-020, TC-CART-021, TC-CART-022</t>
        </is>
      </c>
      <c r="E8" s="3" t="inlineStr">
        <is>
          <t>Covered</t>
        </is>
      </c>
    </row>
    <row r="9">
      <c r="A9" s="3" t="inlineStr">
        <is>
          <t>AC08</t>
        </is>
      </c>
      <c r="B9" s="3" t="inlineStr">
        <is>
          <t>Bấm "Mua hàng" kiểm tra lại tồn kho; có SP không đủ → reload Cart + "Sản phẩm vừa được cập nhật lại."</t>
        </is>
      </c>
      <c r="C9" s="3" t="n">
        <v>5</v>
      </c>
      <c r="D9" s="3" t="inlineStr">
        <is>
          <t>TC-CART-023, TC-CART-024, TC-CART-025, TC-CART-026, TC-CART-027</t>
        </is>
      </c>
      <c r="E9" s="3" t="inlineStr">
        <is>
          <t>Covered</t>
        </is>
      </c>
    </row>
    <row r="10">
      <c r="A10" s="3" t="inlineStr">
        <is>
          <t>AC09</t>
        </is>
      </c>
      <c r="B10" s="3" t="inlineStr">
        <is>
          <t>SP OOS không bị tự xoá; có hàng trở lại thì checkbox Enable lại</t>
        </is>
      </c>
      <c r="C10" s="3" t="n">
        <v>5</v>
      </c>
      <c r="D10" s="3" t="inlineStr">
        <is>
          <t>TC-CART-006, TC-CART-028, TC-CART-029, TC-CART-030, TC-CART-035</t>
        </is>
      </c>
      <c r="E10" s="3" t="inlineStr">
        <is>
          <t>Covered</t>
        </is>
      </c>
    </row>
    <row r="11">
      <c r="A11" s="3" t="inlineStr">
        <is>
          <t>AC10</t>
        </is>
      </c>
      <c r="B11" s="3" t="inlineStr">
        <is>
          <t>SP OOS bị đẩy xuống cuối Cart, giữ thứ tự tương đối của cả 2 nhóm</t>
        </is>
      </c>
      <c r="C11" s="3" t="n">
        <v>3</v>
      </c>
      <c r="D11" s="3" t="inlineStr">
        <is>
          <t>TC-CART-008, TC-CART-031, TC-CART-032</t>
        </is>
      </c>
      <c r="E11" s="3" t="inlineStr">
        <is>
          <t>Covered</t>
        </is>
      </c>
    </row>
    <row r="12">
      <c r="A12" s="3" t="inlineStr">
        <is>
          <t>BR-01</t>
        </is>
      </c>
      <c r="B12" s="3" t="inlineStr">
        <is>
          <t>Tồn tại ≥1 SP đồng thời *Còn hàng* + *Được tick</t>
        </is>
      </c>
      <c r="C12" s="3" t="n">
        <v>5</v>
      </c>
      <c r="D12" s="3" t="inlineStr">
        <is>
          <t>TC-CART-003, TC-CART-010, TC-CART-011, TC-CART-012, TC-CART-013</t>
        </is>
      </c>
      <c r="E12" s="3" t="inlineStr">
        <is>
          <t>Covered</t>
        </is>
      </c>
    </row>
    <row r="13">
      <c r="A13" s="3" t="inlineStr">
        <is>
          <t>BR-02</t>
        </is>
      </c>
      <c r="B13" s="3" t="inlineStr">
        <is>
          <t>Saleable Qty = 0</t>
        </is>
      </c>
      <c r="C13" s="3" t="n">
        <v>3</v>
      </c>
      <c r="D13" s="3" t="inlineStr">
        <is>
          <t>TC-CART-004, TC-CART-007, TC-CART-024</t>
        </is>
      </c>
      <c r="E13" s="3" t="inlineStr">
        <is>
          <t>Covered</t>
        </is>
      </c>
    </row>
    <row r="14">
      <c r="A14" s="3" t="inlineStr">
        <is>
          <t>BR-03</t>
        </is>
      </c>
      <c r="B14" s="3" t="inlineStr">
        <is>
          <t>0 &lt; Saleable Qty &lt; qty khách chọn</t>
        </is>
      </c>
      <c r="C14" s="3" t="n">
        <v>5</v>
      </c>
      <c r="D14" s="3" t="inlineStr">
        <is>
          <t>TC-CART-016, TC-CART-018, TC-CART-021, TC-CART-022, TC-CART-025</t>
        </is>
      </c>
      <c r="E14" s="3" t="inlineStr">
        <is>
          <t>Covered</t>
        </is>
      </c>
    </row>
    <row r="15">
      <c r="A15" s="3" t="inlineStr">
        <is>
          <t>IMP-01</t>
        </is>
      </c>
      <c r="B15" s="3" t="inlineStr">
        <is>
          <t>Khung "Tóm tắt đơn hàng" (TỔNG (N SẢN PHẨM), tạm tính) chỉ tính SP còn hàng được tick</t>
        </is>
      </c>
      <c r="C15" s="3" t="n">
        <v>2</v>
      </c>
      <c r="D15" s="3" t="inlineStr">
        <is>
          <t>TC-CART-033, TC-CART-034</t>
        </is>
      </c>
      <c r="E15" s="3" t="inlineStr">
        <is>
          <t>Covered (IMP chưa xác nhận)</t>
        </is>
      </c>
    </row>
    <row r="16">
      <c r="A16" s="3" t="inlineStr">
        <is>
          <t>IMP-02</t>
        </is>
      </c>
      <c r="B16" s="3" t="inlineStr">
        <is>
          <t>Sau khi đặt hàng, SP không được chọn (OOS hoặc bị untick) vẫn nằm lại trong Cart</t>
        </is>
      </c>
      <c r="C16" s="3" t="n">
        <v>1</v>
      </c>
      <c r="D16" s="3" t="inlineStr">
        <is>
          <t>TC-CART-035</t>
        </is>
      </c>
      <c r="E16" s="3" t="inlineStr">
        <is>
          <t>Covered (IMP chưa xác nhận)</t>
        </is>
      </c>
    </row>
    <row r="17">
      <c r="A17" s="3" t="inlineStr">
        <is>
          <t>IMP-03</t>
        </is>
      </c>
      <c r="B17" s="3" t="inlineStr">
        <is>
          <t>Mini-cart vẫn hiển thị SP khi tất cả SP trong Cart hết hàng</t>
        </is>
      </c>
      <c r="C17" s="3" t="n">
        <v>1</v>
      </c>
      <c r="D17" s="3" t="inlineStr">
        <is>
          <t>TC-CART-036</t>
        </is>
      </c>
      <c r="E17" s="3" t="inlineStr">
        <is>
          <t>Covered (IMP chưa xác nhận)</t>
        </is>
      </c>
    </row>
    <row r="18">
      <c r="A18" s="3" t="inlineStr">
        <is>
          <t>IMP-04</t>
        </is>
      </c>
      <c r="B18" s="3" t="inlineStr">
        <is>
          <t>Mỗi SP OOS chỉ hiển thị **một** thông báo, không lặp sau reload</t>
        </is>
      </c>
      <c r="C18" s="3" t="n">
        <v>1</v>
      </c>
      <c r="D18" s="3" t="inlineStr">
        <is>
          <t>TC-CART-037</t>
        </is>
      </c>
      <c r="E18" s="3" t="inlineStr">
        <is>
          <t>Covered (IMP chưa xác nhận)</t>
        </is>
      </c>
    </row>
    <row r="19">
      <c r="A19" s="3" t="inlineStr">
        <is>
          <t>IMP-05</t>
        </is>
      </c>
      <c r="B19" s="3" t="inlineStr">
        <is>
          <t>Bấm "Mua hàng" 2 lần liên tiếp không gây lỗi / không nhân đôi sản phẩm</t>
        </is>
      </c>
      <c r="C19" s="3" t="n">
        <v>1</v>
      </c>
      <c r="D19" s="3" t="inlineStr">
        <is>
          <t>TC-CART-038</t>
        </is>
      </c>
      <c r="E19" s="3" t="inlineStr">
        <is>
          <t>Covered (IMP chưa xác nhận)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12" customWidth="1" min="4" max="4"/>
    <col width="40" customWidth="1" min="5" max="5"/>
    <col width="16" customWidth="1" min="6" max="6"/>
  </cols>
  <sheetData>
    <row r="1">
      <c r="A1" s="1" t="inlineStr">
        <is>
          <t>Cond_ID</t>
        </is>
      </c>
      <c r="B1" s="1" t="inlineStr">
        <is>
          <t>Req_ID</t>
        </is>
      </c>
      <c r="C1" s="1" t="inlineStr">
        <is>
          <t>Điều kiện kiểm thử</t>
        </is>
      </c>
      <c r="D1" s="1" t="inlineStr">
        <is>
          <t>Kỹ thuật</t>
        </is>
      </c>
      <c r="E1" s="1" t="inlineStr">
        <is>
          <t>Test cases</t>
        </is>
      </c>
      <c r="F1" s="1" t="inlineStr">
        <is>
          <t>Trạng thái</t>
        </is>
      </c>
    </row>
    <row r="2">
      <c r="A2" s="3" t="inlineStr">
        <is>
          <t>CO-01</t>
        </is>
      </c>
      <c r="B2" s="3" t="inlineStr">
        <is>
          <t>AC01</t>
        </is>
      </c>
      <c r="C2" s="3" t="inlineStr">
        <is>
          <t>Tick ↔ untick SP còn hàng</t>
        </is>
      </c>
      <c r="D2" s="3" t="inlineStr">
        <is>
          <t>ST</t>
        </is>
      </c>
      <c r="E2" s="3" t="inlineStr">
        <is>
          <t>TC-CART-001</t>
        </is>
      </c>
      <c r="F2" s="3" t="inlineStr">
        <is>
          <t>Covered</t>
        </is>
      </c>
    </row>
    <row r="3">
      <c r="A3" s="3" t="inlineStr">
        <is>
          <t>CO-02</t>
        </is>
      </c>
      <c r="B3" s="3" t="inlineStr">
        <is>
          <t>AC01</t>
        </is>
      </c>
      <c r="C3" s="3" t="inlineStr">
        <is>
          <t>Chỉ SP được tick sang Checkout (Cart toàn SP còn hàng)</t>
        </is>
      </c>
      <c r="D3" s="3" t="inlineStr">
        <is>
          <t>UC</t>
        </is>
      </c>
      <c r="E3" s="3" t="inlineStr">
        <is>
          <t>TC-CART-002</t>
        </is>
      </c>
      <c r="F3" s="3" t="inlineStr">
        <is>
          <t>Covered</t>
        </is>
      </c>
    </row>
    <row r="4">
      <c r="A4" s="3" t="inlineStr">
        <is>
          <t>CO-03</t>
        </is>
      </c>
      <c r="B4" s="3" t="inlineStr">
        <is>
          <t>AC01; BR-01</t>
        </is>
      </c>
      <c r="C4" s="3" t="inlineStr">
        <is>
          <t>Checkout với toàn bộ SP còn hàng được tick</t>
        </is>
      </c>
      <c r="D4" s="3" t="inlineStr">
        <is>
          <t>UC</t>
        </is>
      </c>
      <c r="E4" s="3" t="inlineStr">
        <is>
          <t>TC-CART-003</t>
        </is>
      </c>
      <c r="F4" s="3" t="inlineStr">
        <is>
          <t>Covered</t>
        </is>
      </c>
    </row>
    <row r="5">
      <c r="A5" s="3" t="inlineStr">
        <is>
          <t>CO-04</t>
        </is>
      </c>
      <c r="B5" s="3" t="inlineStr">
        <is>
          <t>AC02; BR-02</t>
        </is>
      </c>
      <c r="C5" s="3" t="inlineStr">
        <is>
          <t>SP OOS khi vào Cart: bỏ tick, Disable, thông báo, vẫn giữ</t>
        </is>
      </c>
      <c r="D5" s="3" t="inlineStr">
        <is>
          <t>ST</t>
        </is>
      </c>
      <c r="E5" s="3" t="inlineStr">
        <is>
          <t>TC-CART-004</t>
        </is>
      </c>
      <c r="F5" s="3" t="inlineStr">
        <is>
          <t>Covered</t>
        </is>
      </c>
    </row>
    <row r="6">
      <c r="A6" s="3" t="inlineStr">
        <is>
          <t>CO-05</t>
        </is>
      </c>
      <c r="B6" s="3" t="inlineStr">
        <is>
          <t>AC02; AC03; AC04</t>
        </is>
      </c>
      <c r="C6" s="3" t="inlineStr">
        <is>
          <t>Chuyển đổi không hợp lệ OOS → Tick bị chặn (DT1-R4)</t>
        </is>
      </c>
      <c r="D6" s="3" t="inlineStr">
        <is>
          <t>ST</t>
        </is>
      </c>
      <c r="E6" s="3" t="inlineStr">
        <is>
          <t>TC-CART-005</t>
        </is>
      </c>
      <c r="F6" s="3" t="inlineStr">
        <is>
          <t>Covered</t>
        </is>
      </c>
    </row>
    <row r="7">
      <c r="A7" s="3" t="inlineStr">
        <is>
          <t>CO-06</t>
        </is>
      </c>
      <c r="B7" s="3" t="inlineStr">
        <is>
          <t>AC02; AC09</t>
        </is>
      </c>
      <c r="C7" s="3" t="inlineStr">
        <is>
          <t>SP OOS không vào Checkout</t>
        </is>
      </c>
      <c r="D7" s="3" t="inlineStr">
        <is>
          <t>UC</t>
        </is>
      </c>
      <c r="E7" s="3" t="inlineStr">
        <is>
          <t>TC-CART-006</t>
        </is>
      </c>
      <c r="F7" s="3" t="inlineStr">
        <is>
          <t>Covered</t>
        </is>
      </c>
    </row>
    <row r="8">
      <c r="A8" s="3" t="inlineStr">
        <is>
          <t>CO-07</t>
        </is>
      </c>
      <c r="B8" s="3" t="inlineStr">
        <is>
          <t>AC02; BR-02</t>
        </is>
      </c>
      <c r="C8" s="3" t="inlineStr">
        <is>
          <t>Còn hàng – Tick → OOS sau khi tải lại</t>
        </is>
      </c>
      <c r="D8" s="3" t="inlineStr">
        <is>
          <t>ST</t>
        </is>
      </c>
      <c r="E8" s="3" t="inlineStr">
        <is>
          <t>TC-CART-007</t>
        </is>
      </c>
      <c r="F8" s="3" t="inlineStr">
        <is>
          <t>Covered</t>
        </is>
      </c>
    </row>
    <row r="9">
      <c r="A9" s="3" t="inlineStr">
        <is>
          <t>CO-08</t>
        </is>
      </c>
      <c r="B9" s="3" t="inlineStr">
        <is>
          <t>AC03; AC10</t>
        </is>
      </c>
      <c r="C9" s="3" t="inlineStr">
        <is>
          <t>Kịch bản A–B–C: trạng thái từng SP và thứ tự</t>
        </is>
      </c>
      <c r="D9" s="3" t="inlineStr">
        <is>
          <t>UC</t>
        </is>
      </c>
      <c r="E9" s="3" t="inlineStr">
        <is>
          <t>TC-CART-008</t>
        </is>
      </c>
      <c r="F9" s="3" t="inlineStr">
        <is>
          <t>Covered</t>
        </is>
      </c>
    </row>
    <row r="10">
      <c r="A10" s="3" t="inlineStr">
        <is>
          <t>CO-09</t>
        </is>
      </c>
      <c r="B10" s="3" t="inlineStr">
        <is>
          <t>AC03</t>
        </is>
      </c>
      <c r="C10" s="3" t="inlineStr">
        <is>
          <t>Checkout không cần xoá SP OOS</t>
        </is>
      </c>
      <c r="D10" s="3" t="inlineStr">
        <is>
          <t>UC</t>
        </is>
      </c>
      <c r="E10" s="3" t="inlineStr">
        <is>
          <t>TC-CART-009</t>
        </is>
      </c>
      <c r="F10" s="3" t="inlineStr">
        <is>
          <t>Covered</t>
        </is>
      </c>
    </row>
    <row r="11">
      <c r="A11" s="3" t="inlineStr">
        <is>
          <t>CO-10</t>
        </is>
      </c>
      <c r="B11" s="3" t="inlineStr">
        <is>
          <t>AC04; BR-01</t>
        </is>
      </c>
      <c r="C11" s="3" t="inlineStr">
        <is>
          <t>DT1-R1: ≥1 SP còn hàng được tick → Enable</t>
        </is>
      </c>
      <c r="D11" s="3" t="inlineStr">
        <is>
          <t>DT</t>
        </is>
      </c>
      <c r="E11" s="3" t="inlineStr">
        <is>
          <t>TC-CART-010</t>
        </is>
      </c>
      <c r="F11" s="3" t="inlineStr">
        <is>
          <t>Covered</t>
        </is>
      </c>
    </row>
    <row r="12">
      <c r="A12" s="3" t="inlineStr">
        <is>
          <t>CO-11</t>
        </is>
      </c>
      <c r="B12" s="3" t="inlineStr">
        <is>
          <t>AC04; AC01; BR-01</t>
        </is>
      </c>
      <c r="C12" s="3" t="inlineStr">
        <is>
          <t>DT1-R2: không SP còn hàng nào được tick → Disable</t>
        </is>
      </c>
      <c r="D12" s="3" t="inlineStr">
        <is>
          <t>DT</t>
        </is>
      </c>
      <c r="E12" s="3" t="inlineStr">
        <is>
          <t>TC-CART-011</t>
        </is>
      </c>
      <c r="F12" s="3" t="inlineStr">
        <is>
          <t>Covered</t>
        </is>
      </c>
    </row>
    <row r="13">
      <c r="A13" s="3" t="inlineStr">
        <is>
          <t>CO-12</t>
        </is>
      </c>
      <c r="B13" s="3" t="inlineStr">
        <is>
          <t>AC04; BR-01</t>
        </is>
      </c>
      <c r="C13" s="3" t="inlineStr">
        <is>
          <t>Biên số SP được tick 1 ↔ 0</t>
        </is>
      </c>
      <c r="D13" s="3" t="inlineStr">
        <is>
          <t>BVA</t>
        </is>
      </c>
      <c r="E13" s="3" t="inlineStr">
        <is>
          <t>TC-CART-012</t>
        </is>
      </c>
      <c r="F13" s="3" t="inlineStr">
        <is>
          <t>Covered</t>
        </is>
      </c>
    </row>
    <row r="14">
      <c r="A14" s="3" t="inlineStr">
        <is>
          <t>CO-13</t>
        </is>
      </c>
      <c r="B14" s="3" t="inlineStr">
        <is>
          <t>AC04; AC05; BR-01</t>
        </is>
      </c>
      <c r="C14" s="3" t="inlineStr">
        <is>
          <t>DT1-R3: tất cả OOS → Disable</t>
        </is>
      </c>
      <c r="D14" s="3" t="inlineStr">
        <is>
          <t>DT</t>
        </is>
      </c>
      <c r="E14" s="3" t="inlineStr">
        <is>
          <t>TC-CART-013</t>
        </is>
      </c>
      <c r="F14" s="3" t="inlineStr">
        <is>
          <t>Covered</t>
        </is>
      </c>
    </row>
    <row r="15">
      <c r="A15" s="3" t="inlineStr">
        <is>
          <t>CO-14</t>
        </is>
      </c>
      <c r="B15" s="3" t="inlineStr">
        <is>
          <t>AC05</t>
        </is>
      </c>
      <c r="C15" s="3" t="inlineStr">
        <is>
          <t>Hiển thị Cart khi tất cả OOS</t>
        </is>
      </c>
      <c r="D15" s="3" t="inlineStr">
        <is>
          <t>UC</t>
        </is>
      </c>
      <c r="E15" s="3" t="inlineStr">
        <is>
          <t>TC-CART-014</t>
        </is>
      </c>
      <c r="F15" s="3" t="inlineStr">
        <is>
          <t>Covered</t>
        </is>
      </c>
    </row>
    <row r="16">
      <c r="A16" s="3" t="inlineStr">
        <is>
          <t>CO-15</t>
        </is>
      </c>
      <c r="B16" s="3" t="inlineStr">
        <is>
          <t>AC05</t>
        </is>
      </c>
      <c r="C16" s="3" t="inlineStr">
        <is>
          <t>Vào thẳng URL Checkout khi tất cả OOS</t>
        </is>
      </c>
      <c r="D16" s="3" t="inlineStr">
        <is>
          <t>EG</t>
        </is>
      </c>
      <c r="E16" s="3" t="inlineStr">
        <is>
          <t>TC-CART-015</t>
        </is>
      </c>
      <c r="F16" s="3" t="inlineStr">
        <is>
          <t>Covered</t>
        </is>
      </c>
    </row>
    <row r="17">
      <c r="A17" s="3" t="inlineStr">
        <is>
          <t>CO-16</t>
        </is>
      </c>
      <c r="B17" s="3" t="inlineStr">
        <is>
          <t>AC06; BR-03</t>
        </is>
      </c>
      <c r="C17" s="3" t="inlineStr">
        <is>
          <t>Tồn kho 2 → 1 khi qty = 2</t>
        </is>
      </c>
      <c r="D17" s="3" t="inlineStr">
        <is>
          <t>ST</t>
        </is>
      </c>
      <c r="E17" s="3" t="inlineStr">
        <is>
          <t>TC-CART-016</t>
        </is>
      </c>
      <c r="F17" s="3" t="inlineStr">
        <is>
          <t>Covered</t>
        </is>
      </c>
    </row>
    <row r="18">
      <c r="A18" s="3" t="inlineStr">
        <is>
          <t>CO-17</t>
        </is>
      </c>
      <c r="B18" s="3" t="inlineStr">
        <is>
          <t>AC06</t>
        </is>
      </c>
      <c r="C18" s="3" t="inlineStr">
        <is>
          <t>Checkout sau khi qty đã tự điều chỉnh</t>
        </is>
      </c>
      <c r="D18" s="3" t="inlineStr">
        <is>
          <t>UC</t>
        </is>
      </c>
      <c r="E18" s="3" t="inlineStr">
        <is>
          <t>TC-CART-017</t>
        </is>
      </c>
      <c r="F18" s="3" t="inlineStr">
        <is>
          <t>Covered</t>
        </is>
      </c>
    </row>
    <row r="19">
      <c r="A19" s="3" t="inlineStr">
        <is>
          <t>CO-18</t>
        </is>
      </c>
      <c r="B19" s="3" t="inlineStr">
        <is>
          <t>AC06; BR-03</t>
        </is>
      </c>
      <c r="C19" s="3" t="inlineStr">
        <is>
          <t>Cố tăng qty sau khi đã bị điều chỉnh</t>
        </is>
      </c>
      <c r="D19" s="3" t="inlineStr">
        <is>
          <t>ST</t>
        </is>
      </c>
      <c r="E19" s="3" t="inlineStr">
        <is>
          <t>TC-CART-018</t>
        </is>
      </c>
      <c r="F19" s="3" t="inlineStr">
        <is>
          <t>Covered</t>
        </is>
      </c>
    </row>
    <row r="20">
      <c r="A20" s="3" t="inlineStr">
        <is>
          <t>CO-19</t>
        </is>
      </c>
      <c r="B20" s="3" t="inlineStr">
        <is>
          <t>AC07</t>
        </is>
      </c>
      <c r="C20" s="3" t="inlineStr">
        <is>
          <t>qty = 4 (max−1)</t>
        </is>
      </c>
      <c r="D20" s="3" t="inlineStr">
        <is>
          <t>BVA</t>
        </is>
      </c>
      <c r="E20" s="3" t="inlineStr">
        <is>
          <t>TC-CART-019</t>
        </is>
      </c>
      <c r="F20" s="3" t="inlineStr">
        <is>
          <t>Covered</t>
        </is>
      </c>
    </row>
    <row r="21">
      <c r="A21" s="3" t="inlineStr">
        <is>
          <t>CO-20</t>
        </is>
      </c>
      <c r="B21" s="3" t="inlineStr">
        <is>
          <t>AC07</t>
        </is>
      </c>
      <c r="C21" s="3" t="inlineStr">
        <is>
          <t>qty = 5 (max)</t>
        </is>
      </c>
      <c r="D21" s="3" t="inlineStr">
        <is>
          <t>BVA</t>
        </is>
      </c>
      <c r="E21" s="3" t="inlineStr">
        <is>
          <t>TC-CART-020</t>
        </is>
      </c>
      <c r="F21" s="3" t="inlineStr">
        <is>
          <t>Covered</t>
        </is>
      </c>
    </row>
    <row r="22">
      <c r="A22" s="3" t="inlineStr">
        <is>
          <t>CO-21</t>
        </is>
      </c>
      <c r="B22" s="3" t="inlineStr">
        <is>
          <t>AC07; BR-03</t>
        </is>
      </c>
      <c r="C22" s="3" t="inlineStr">
        <is>
          <t>qty = 6 (max+1)</t>
        </is>
      </c>
      <c r="D22" s="3" t="inlineStr">
        <is>
          <t>BVA</t>
        </is>
      </c>
      <c r="E22" s="3" t="inlineStr">
        <is>
          <t>TC-CART-021</t>
        </is>
      </c>
      <c r="F22" s="3" t="inlineStr">
        <is>
          <t>Covered</t>
        </is>
      </c>
    </row>
    <row r="23">
      <c r="A23" s="3" t="inlineStr">
        <is>
          <t>CO-22</t>
        </is>
      </c>
      <c r="B23" s="3" t="inlineStr">
        <is>
          <t>AC07; BR-03</t>
        </is>
      </c>
      <c r="C23" s="3" t="inlineStr">
        <is>
          <t>qty rất lớn (đại diện invalid xa: 999)</t>
        </is>
      </c>
      <c r="D23" s="3" t="inlineStr">
        <is>
          <t>EP</t>
        </is>
      </c>
      <c r="E23" s="3" t="inlineStr">
        <is>
          <t>TC-CART-022</t>
        </is>
      </c>
      <c r="F23" s="3" t="inlineStr">
        <is>
          <t>Covered</t>
        </is>
      </c>
    </row>
    <row r="24">
      <c r="A24" s="3" t="inlineStr">
        <is>
          <t>CO-23</t>
        </is>
      </c>
      <c r="B24" s="3" t="inlineStr">
        <is>
          <t>AC07</t>
        </is>
      </c>
      <c r="C24" s="3" t="inlineStr">
        <is>
          <t>qty &lt; 1, số âm, chữ</t>
        </is>
      </c>
      <c r="D24" s="3" t="inlineStr">
        <is>
          <t>EP</t>
        </is>
      </c>
      <c r="E24" s="3" t="inlineStr"/>
      <c r="F24" s="5" t="inlineStr">
        <is>
          <t>Pending</t>
        </is>
      </c>
    </row>
    <row r="25">
      <c r="A25" s="3" t="inlineStr">
        <is>
          <t>CO-24</t>
        </is>
      </c>
      <c r="B25" s="3" t="inlineStr">
        <is>
          <t>AC08</t>
        </is>
      </c>
      <c r="C25" s="3" t="inlineStr">
        <is>
          <t>DT2-R1: đủ tồn kho → sang Checkout</t>
        </is>
      </c>
      <c r="D25" s="3" t="inlineStr">
        <is>
          <t>DT</t>
        </is>
      </c>
      <c r="E25" s="3" t="inlineStr">
        <is>
          <t>TC-CART-023</t>
        </is>
      </c>
      <c r="F25" s="3" t="inlineStr">
        <is>
          <t>Covered</t>
        </is>
      </c>
    </row>
    <row r="26">
      <c r="A26" s="3" t="inlineStr">
        <is>
          <t>CO-25</t>
        </is>
      </c>
      <c r="B26" s="3" t="inlineStr">
        <is>
          <t>AC08; BR-02</t>
        </is>
      </c>
      <c r="C26" s="3" t="inlineStr">
        <is>
          <t>DT2-R2: SP được tick hết hàng lúc bấm Mua hàng</t>
        </is>
      </c>
      <c r="D26" s="3" t="inlineStr">
        <is>
          <t>DT</t>
        </is>
      </c>
      <c r="E26" s="3" t="inlineStr">
        <is>
          <t>TC-CART-024</t>
        </is>
      </c>
      <c r="F26" s="3" t="inlineStr">
        <is>
          <t>Covered</t>
        </is>
      </c>
    </row>
    <row r="27">
      <c r="A27" s="3" t="inlineStr">
        <is>
          <t>CO-26</t>
        </is>
      </c>
      <c r="B27" s="3" t="inlineStr">
        <is>
          <t>AC08; BR-03</t>
        </is>
      </c>
      <c r="C27" s="3" t="inlineStr">
        <is>
          <t>DT2-R3: tồn kho &lt; qty lúc bấm Mua hàng</t>
        </is>
      </c>
      <c r="D27" s="3" t="inlineStr">
        <is>
          <t>DT</t>
        </is>
      </c>
      <c r="E27" s="3" t="inlineStr">
        <is>
          <t>TC-CART-025</t>
        </is>
      </c>
      <c r="F27" s="3" t="inlineStr">
        <is>
          <t>Covered</t>
        </is>
      </c>
    </row>
    <row r="28">
      <c r="A28" s="3" t="inlineStr">
        <is>
          <t>CO-27</t>
        </is>
      </c>
      <c r="B28" s="3" t="inlineStr">
        <is>
          <t>AC08</t>
        </is>
      </c>
      <c r="C28" s="3" t="inlineStr">
        <is>
          <t>SP hợp lệ khác giữ nguyên lựa chọn sau revalidate</t>
        </is>
      </c>
      <c r="D28" s="3" t="inlineStr">
        <is>
          <t>DT</t>
        </is>
      </c>
      <c r="E28" s="3" t="inlineStr">
        <is>
          <t>TC-CART-026</t>
        </is>
      </c>
      <c r="F28" s="3" t="inlineStr">
        <is>
          <t>Covered</t>
        </is>
      </c>
    </row>
    <row r="29">
      <c r="A29" s="3" t="inlineStr">
        <is>
          <t>CO-28</t>
        </is>
      </c>
      <c r="B29" s="3" t="inlineStr">
        <is>
          <t>AC08</t>
        </is>
      </c>
      <c r="C29" s="3" t="inlineStr">
        <is>
          <t>Bấm Mua hàng lần 2 sau khi Cart cập nhật</t>
        </is>
      </c>
      <c r="D29" s="3" t="inlineStr">
        <is>
          <t>UC</t>
        </is>
      </c>
      <c r="E29" s="3" t="inlineStr">
        <is>
          <t>TC-CART-027</t>
        </is>
      </c>
      <c r="F29" s="3" t="inlineStr">
        <is>
          <t>Covered</t>
        </is>
      </c>
    </row>
    <row r="30">
      <c r="A30" s="3" t="inlineStr">
        <is>
          <t>CO-29</t>
        </is>
      </c>
      <c r="B30" s="3" t="inlineStr">
        <is>
          <t>AC09</t>
        </is>
      </c>
      <c r="C30" s="3" t="inlineStr">
        <is>
          <t>SP OOS còn trong Cart qua reload, điều hướng, đăng nhập lại</t>
        </is>
      </c>
      <c r="D30" s="3" t="inlineStr">
        <is>
          <t>ST</t>
        </is>
      </c>
      <c r="E30" s="3" t="inlineStr">
        <is>
          <t>TC-CART-028</t>
        </is>
      </c>
      <c r="F30" s="3" t="inlineStr">
        <is>
          <t>Covered</t>
        </is>
      </c>
    </row>
    <row r="31">
      <c r="A31" s="3" t="inlineStr">
        <is>
          <t>CO-30</t>
        </is>
      </c>
      <c r="B31" s="3" t="inlineStr">
        <is>
          <t>AC09</t>
        </is>
      </c>
      <c r="C31" s="3" t="inlineStr">
        <is>
          <t>OOS → Còn hàng: checkbox Enable lại</t>
        </is>
      </c>
      <c r="D31" s="3" t="inlineStr">
        <is>
          <t>ST</t>
        </is>
      </c>
      <c r="E31" s="3" t="inlineStr">
        <is>
          <t>TC-CART-029</t>
        </is>
      </c>
      <c r="F31" s="3" t="inlineStr">
        <is>
          <t>Covered</t>
        </is>
      </c>
    </row>
    <row r="32">
      <c r="A32" s="3" t="inlineStr">
        <is>
          <t>CO-31</t>
        </is>
      </c>
      <c r="B32" s="3" t="inlineStr">
        <is>
          <t>AC09; AC03</t>
        </is>
      </c>
      <c r="C32" s="3" t="inlineStr">
        <is>
          <t>Khách tự xoá SP OOS</t>
        </is>
      </c>
      <c r="D32" s="3" t="inlineStr">
        <is>
          <t>CRUD</t>
        </is>
      </c>
      <c r="E32" s="3" t="inlineStr">
        <is>
          <t>TC-CART-030</t>
        </is>
      </c>
      <c r="F32" s="3" t="inlineStr">
        <is>
          <t>Covered</t>
        </is>
      </c>
    </row>
    <row r="33">
      <c r="A33" s="3" t="inlineStr">
        <is>
          <t>CO-32</t>
        </is>
      </c>
      <c r="B33" s="3" t="inlineStr">
        <is>
          <t>AC10</t>
        </is>
      </c>
      <c r="C33" s="3" t="inlineStr">
        <is>
          <t>Thứ tự hiển thị 2 nhóm khi vào Cart</t>
        </is>
      </c>
      <c r="D33" s="3" t="inlineStr">
        <is>
          <t>ST</t>
        </is>
      </c>
      <c r="E33" s="3" t="inlineStr">
        <is>
          <t>TC-CART-031</t>
        </is>
      </c>
      <c r="F33" s="3" t="inlineStr">
        <is>
          <t>Covered</t>
        </is>
      </c>
    </row>
    <row r="34">
      <c r="A34" s="3" t="inlineStr">
        <is>
          <t>CO-33</t>
        </is>
      </c>
      <c r="B34" s="3" t="inlineStr">
        <is>
          <t>AC10</t>
        </is>
      </c>
      <c r="C34" s="3" t="inlineStr">
        <is>
          <t>Còn hàng → OOS chuyển xuống nhóm cuối</t>
        </is>
      </c>
      <c r="D34" s="3" t="inlineStr">
        <is>
          <t>ST</t>
        </is>
      </c>
      <c r="E34" s="3" t="inlineStr">
        <is>
          <t>TC-CART-032</t>
        </is>
      </c>
      <c r="F34" s="3" t="inlineStr">
        <is>
          <t>Covered</t>
        </is>
      </c>
    </row>
    <row r="35">
      <c r="A35" s="3" t="inlineStr">
        <is>
          <t>CO-34</t>
        </is>
      </c>
      <c r="B35" s="3" t="inlineStr">
        <is>
          <t>IMP-01; AC02</t>
        </is>
      </c>
      <c r="C35" s="3" t="inlineStr">
        <is>
          <t>Tóm tắt chỉ tính SP còn hàng được tick</t>
        </is>
      </c>
      <c r="D35" s="3" t="inlineStr">
        <is>
          <t>EG</t>
        </is>
      </c>
      <c r="E35" s="3" t="inlineStr">
        <is>
          <t>TC-CART-033</t>
        </is>
      </c>
      <c r="F35" s="3" t="inlineStr">
        <is>
          <t>Covered</t>
        </is>
      </c>
    </row>
    <row r="36">
      <c r="A36" s="3" t="inlineStr">
        <is>
          <t>CO-35</t>
        </is>
      </c>
      <c r="B36" s="3" t="inlineStr">
        <is>
          <t>IMP-01</t>
        </is>
      </c>
      <c r="C36" s="3" t="inlineStr">
        <is>
          <t>Tóm tắt khi bỏ tick toàn bộ</t>
        </is>
      </c>
      <c r="D36" s="3" t="inlineStr">
        <is>
          <t>EG</t>
        </is>
      </c>
      <c r="E36" s="3" t="inlineStr">
        <is>
          <t>TC-CART-034</t>
        </is>
      </c>
      <c r="F36" s="3" t="inlineStr">
        <is>
          <t>Covered</t>
        </is>
      </c>
    </row>
    <row r="37">
      <c r="A37" s="3" t="inlineStr">
        <is>
          <t>CO-36</t>
        </is>
      </c>
      <c r="B37" s="3" t="inlineStr">
        <is>
          <t>IMP-02; AC09</t>
        </is>
      </c>
      <c r="C37" s="3" t="inlineStr">
        <is>
          <t>SP không được chọn còn lại trong Cart sau đặt hàng</t>
        </is>
      </c>
      <c r="D37" s="3" t="inlineStr">
        <is>
          <t>UC</t>
        </is>
      </c>
      <c r="E37" s="3" t="inlineStr">
        <is>
          <t>TC-CART-035</t>
        </is>
      </c>
      <c r="F37" s="3" t="inlineStr">
        <is>
          <t>Covered</t>
        </is>
      </c>
    </row>
    <row r="38">
      <c r="A38" s="3" t="inlineStr">
        <is>
          <t>CO-37</t>
        </is>
      </c>
      <c r="B38" s="3" t="inlineStr">
        <is>
          <t>IMP-03; AC05</t>
        </is>
      </c>
      <c r="C38" s="3" t="inlineStr">
        <is>
          <t>Mini-cart khi tất cả OOS</t>
        </is>
      </c>
      <c r="D38" s="3" t="inlineStr">
        <is>
          <t>EG</t>
        </is>
      </c>
      <c r="E38" s="3" t="inlineStr">
        <is>
          <t>TC-CART-036</t>
        </is>
      </c>
      <c r="F38" s="3" t="inlineStr">
        <is>
          <t>Covered</t>
        </is>
      </c>
    </row>
    <row r="39">
      <c r="A39" s="3" t="inlineStr">
        <is>
          <t>CO-38</t>
        </is>
      </c>
      <c r="B39" s="3" t="inlineStr">
        <is>
          <t>IMP-04; AC02</t>
        </is>
      </c>
      <c r="C39" s="3" t="inlineStr">
        <is>
          <t>Không lặp thông báo sau nhiều lần reload</t>
        </is>
      </c>
      <c r="D39" s="3" t="inlineStr">
        <is>
          <t>EG</t>
        </is>
      </c>
      <c r="E39" s="3" t="inlineStr">
        <is>
          <t>TC-CART-037</t>
        </is>
      </c>
      <c r="F39" s="3" t="inlineStr">
        <is>
          <t>Covered</t>
        </is>
      </c>
    </row>
    <row r="40">
      <c r="A40" s="3" t="inlineStr">
        <is>
          <t>CO-39</t>
        </is>
      </c>
      <c r="B40" s="3" t="inlineStr">
        <is>
          <t>IMP-05</t>
        </is>
      </c>
      <c r="C40" s="3" t="inlineStr">
        <is>
          <t>Double-click "Mua hàng"</t>
        </is>
      </c>
      <c r="D40" s="3" t="inlineStr">
        <is>
          <t>EG</t>
        </is>
      </c>
      <c r="E40" s="3" t="inlineStr">
        <is>
          <t>TC-CART-038</t>
        </is>
      </c>
      <c r="F40" s="3" t="inlineStr">
        <is>
          <t>Covered</t>
        </is>
      </c>
    </row>
    <row r="41">
      <c r="A41" s="3" t="inlineStr">
        <is>
          <t>CO-40</t>
        </is>
      </c>
      <c r="B41" s="3" t="inlineStr">
        <is>
          <t>AC02</t>
        </is>
      </c>
      <c r="C41" s="3" t="inlineStr">
        <is>
          <t>Vị trí/hiển thị thông báo OOS theo mockup</t>
        </is>
      </c>
      <c r="D41" s="3" t="inlineStr">
        <is>
          <t>CL</t>
        </is>
      </c>
      <c r="E41" s="3" t="inlineStr">
        <is>
          <t>TC-CART-039</t>
        </is>
      </c>
      <c r="F41" s="3" t="inlineStr">
        <is>
          <t>Covered</t>
        </is>
      </c>
    </row>
    <row r="42">
      <c r="A42" s="3" t="inlineStr">
        <is>
          <t>CO-41</t>
        </is>
      </c>
      <c r="B42" s="3" t="inlineStr">
        <is>
          <t>AC01; AC05</t>
        </is>
      </c>
      <c r="C42" s="3" t="inlineStr">
        <is>
          <t>Checkbox "Tất cả sản phẩm" khi có SP OOS / tất cả OOS</t>
        </is>
      </c>
      <c r="D42" s="3" t="inlineStr">
        <is>
          <t>DT</t>
        </is>
      </c>
      <c r="E42" s="3" t="inlineStr"/>
      <c r="F42" s="5" t="inlineStr">
        <is>
          <t>Pending</t>
        </is>
      </c>
    </row>
    <row r="43">
      <c r="A43" s="3" t="inlineStr">
        <is>
          <t>CO-42</t>
        </is>
      </c>
      <c r="B43" s="3" t="inlineStr">
        <is>
          <t>AC01</t>
        </is>
      </c>
      <c r="C43" s="3" t="inlineStr">
        <is>
          <t>Khách vãng lai (guest) dùng selective checkout</t>
        </is>
      </c>
      <c r="D43" s="3" t="inlineStr">
        <is>
          <t>UC</t>
        </is>
      </c>
      <c r="E43" s="3" t="inlineStr"/>
      <c r="F43" s="5" t="inlineStr">
        <is>
          <t>Pending</t>
        </is>
      </c>
    </row>
    <row r="44">
      <c r="A44" s="3" t="inlineStr">
        <is>
          <t>CO-43</t>
        </is>
      </c>
      <c r="B44" s="3" t="inlineStr">
        <is>
          <t>AC08</t>
        </is>
      </c>
      <c r="C44" s="3" t="inlineStr">
        <is>
          <t>Banner revalidate khi website chạy tiếng Anh</t>
        </is>
      </c>
      <c r="D44" s="3" t="inlineStr">
        <is>
          <t>EG</t>
        </is>
      </c>
      <c r="E44" s="3" t="inlineStr"/>
      <c r="F44" s="5" t="inlineStr">
        <is>
          <t>Pending</t>
        </is>
      </c>
    </row>
    <row r="45">
      <c r="A45" s="3" t="inlineStr">
        <is>
          <t>CO-44</t>
        </is>
      </c>
      <c r="B45" s="3" t="inlineStr">
        <is>
          <t>AC09</t>
        </is>
      </c>
      <c r="C45" s="3" t="inlineStr">
        <is>
          <t>Gift-popup / Amasty khi Cart có SP OOS</t>
        </is>
      </c>
      <c r="D45" s="3" t="inlineStr">
        <is>
          <t>UC</t>
        </is>
      </c>
      <c r="E45" s="3" t="inlineStr"/>
      <c r="F45" s="5" t="inlineStr">
        <is>
          <t>Pending</t>
        </is>
      </c>
    </row>
    <row r="46">
      <c r="A46" s="3" t="inlineStr">
        <is>
          <t>CO-45</t>
        </is>
      </c>
      <c r="B46" s="3" t="inlineStr">
        <is>
          <t>AC01; AC03</t>
        </is>
      </c>
      <c r="C46" s="3" t="inlineStr">
        <is>
          <t>Bundle / Set có component hết hàng</t>
        </is>
      </c>
      <c r="D46" s="3" t="inlineStr">
        <is>
          <t>DT</t>
        </is>
      </c>
      <c r="E46" s="3" t="inlineStr"/>
      <c r="F46" s="5" t="inlineStr">
        <is>
          <t>Pending</t>
        </is>
      </c>
    </row>
    <row r="47">
      <c r="A47" s="3" t="inlineStr">
        <is>
          <t>CO-46</t>
        </is>
      </c>
      <c r="B47" s="3" t="inlineStr">
        <is>
          <t>IMP-03</t>
        </is>
      </c>
      <c r="C47" s="3" t="inlineStr">
        <is>
          <t>Badge mini-cart đếm những SP nào</t>
        </is>
      </c>
      <c r="D47" s="3" t="inlineStr">
        <is>
          <t>EG</t>
        </is>
      </c>
      <c r="E47" s="3" t="inlineStr"/>
      <c r="F47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2026-10-16T15:23:57Z</dcterms:created>
  <dcterms:modified xsi:type="dcterms:W3CDTF">2026-10-16T15:23:57Z</dcterms:modified>
</cp:coreProperties>
</file>