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160" windowHeight="8964"/>
  </bookViews>
  <sheets>
    <sheet name="Test Cases" sheetId="1" r:id="rId1"/>
    <sheet name="Summary" sheetId="2" r:id="rId2"/>
    <sheet name="RTM" sheetId="3" r:id="rId3"/>
    <sheet name="Conditions" sheetId="4" r:id="rId4"/>
    <sheet name="Clauses" sheetId="5" r:id="rId5"/>
  </sheets>
  <definedNames>
    <definedName name="_xlnm._FilterDatabase" localSheetId="0" hidden="1">'Test Cases'!$A$1:$T$233</definedName>
    <definedName name="_xlnm.Print_Titles" localSheetId="0">'Test Cases'!$1:$1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<sst xmlns="http://schemas.openxmlformats.org/spreadsheetml/2006/main" count="7699" uniqueCount="2324">
  <si>
    <t>TC_ID</t>
  </si>
  <si>
    <t>Module</t>
  </si>
  <si>
    <t>Req_ID</t>
  </si>
  <si>
    <t>Title</t>
  </si>
  <si>
    <t>Test_Type</t>
  </si>
  <si>
    <t>Scenario</t>
  </si>
  <si>
    <t>Technique</t>
  </si>
  <si>
    <t>Priority</t>
  </si>
  <si>
    <t>Preconditions</t>
  </si>
  <si>
    <t>Test_Data</t>
  </si>
  <si>
    <t>Steps</t>
  </si>
  <si>
    <t>Expected_Result</t>
  </si>
  <si>
    <t>Status</t>
  </si>
  <si>
    <t>Notes</t>
  </si>
  <si>
    <t>Design_Status</t>
  </si>
  <si>
    <t>Actual_Result</t>
  </si>
  <si>
    <t>Bug_ID</t>
  </si>
  <si>
    <t>Tester</t>
  </si>
  <si>
    <t>Executed_Date</t>
  </si>
  <si>
    <t>TC-FLT-001</t>
  </si>
  <si>
    <t>01. Bộ lọc kỳ &amp; thuế</t>
  </si>
  <si>
    <t>REQ-UI-01;REQ-UI-02</t>
  </si>
  <si>
    <t>Kiểm tra khối bộ lọc hiển thị đủ Kỳ xem, Từ ngày – Đến ngày, Store, Client Advisor, Giá trị tiền</t>
  </si>
  <si>
    <t>UI</t>
  </si>
  <si>
    <t>Positive</t>
  </si>
  <si>
    <t>CL</t>
  </si>
  <si>
    <t>P3</t>
  </si>
  <si>
    <t>1. Theo SETUP-01: đăng nhập U-CRM
2. Theo SETUP-07: môi trường có dữ liệu ~100 store</t>
  </si>
  <si>
    <t>-</t>
  </si>
  <si>
    <t>1. Mở menu Dashboard, vào màn hình Dashboard Doanh thu &amp; Đơn hàng
2. Quan sát khối bộ lọc trên cùng màn hình</t>
  </si>
  <si>
    <t>2. Có nhóm Kỳ xem gồm 5 nút "Hôm nay", "Tuần này", "Tháng này", "Tháng trước", "Năm này"
- Có ô Từ ngày – Đến ngày kèm icon lịch, bộ chọn Store, bộ lọc Client Advisor
- Góc phải có nhóm Giá trị tiền với 2 nút "Sau thuế" và "Trước thuế"</t>
  </si>
  <si>
    <t>No</t>
  </si>
  <si>
    <t>Not Run</t>
  </si>
  <si>
    <t>Mockup image1–3: Kỳ xem, Từ ngày – Đến ngày, Store, Giá trị tiền</t>
  </si>
  <si>
    <t>Ready</t>
  </si>
  <si>
    <t/>
  </si>
  <si>
    <t>TC-FLT-002</t>
  </si>
  <si>
    <t>REQ-UI-01</t>
  </si>
  <si>
    <t>Kiểm tra preset Hôm nay đặt kỳ đúng 1 ngày là ngày hiện tại</t>
  </si>
  <si>
    <t>Functional</t>
  </si>
  <si>
    <t>EP</t>
  </si>
  <si>
    <t>P2</t>
  </si>
  <si>
    <t>1. Theo SETUP-01: đăng nhập U-CRM</t>
  </si>
  <si>
    <t>1. Mở menu Dashboard, vào màn hình Dashboard Doanh thu &amp; Đơn hàng
2. Bấm nút "Hôm nay"</t>
  </si>
  <si>
    <t>2. Nút Hôm nay ở trạng thái đang chọn; Từ ngày = Đến ngày = ngày hiện tại (dd/mm/yyyy)
- Khối biểu đồ Sales theo thời gian không vẽ cột (kỳ 1 ngày)</t>
  </si>
  <si>
    <t>Candidate</t>
  </si>
  <si>
    <t>TC-FLT-003</t>
  </si>
  <si>
    <t>Kiểm tra preset Tuần này đặt kỳ từ Thứ Hai của tuần hiện tại đến hôm nay</t>
  </si>
  <si>
    <t>1. Mở menu Dashboard, vào màn hình Dashboard Doanh thu &amp; Đơn hàng
2. Bấm nút "Tuần này"</t>
  </si>
  <si>
    <t>2. Từ ngày = Thứ Hai của tuần chứa hôm nay; Đến ngày = hôm nay</t>
  </si>
  <si>
    <t>[Giả định AS-05] ngày kết thúc của Tuần này. Nếu hôm nay là Thứ Hai: kỳ 1 ngày</t>
  </si>
  <si>
    <t>Needs Clarification (AS-05)</t>
  </si>
  <si>
    <t>TC-FLT-004</t>
  </si>
  <si>
    <t>Kiểm tra preset Tháng này đặt kỳ từ ngày 01 của tháng hiện tại đến hôm nay</t>
  </si>
  <si>
    <t>1. Mở menu Dashboard, vào màn hình Dashboard Doanh thu &amp; Đơn hàng
2. Bấm nút "Tháng này"</t>
  </si>
  <si>
    <t>2. Từ ngày = 01/&lt;tháng hiện tại&gt;/&lt;năm&gt;; Đến ngày = hôm nay (ví dụ nguồn: Tháng này 01/10–14/10 khi hôm nay 14/10)</t>
  </si>
  <si>
    <t>TC-FLT-005</t>
  </si>
  <si>
    <t>Kiểm tra preset Tháng trước đặt kỳ trọn tháng dương lịch liền trước</t>
  </si>
  <si>
    <t>1. Mở menu Dashboard, vào màn hình Dashboard Doanh thu &amp; Đơn hàng
2. Bấm nút "Tháng trước"</t>
  </si>
  <si>
    <t>2. Từ ngày = ngày 01 của tháng trước; Đến ngày = ngày cuối của tháng trước (ví dụ nguồn: 01/09–30/09)</t>
  </si>
  <si>
    <t>TC-FLT-006</t>
  </si>
  <si>
    <t>Kiểm tra preset Năm này đặt kỳ từ 01/01 năm hiện tại đến hôm nay</t>
  </si>
  <si>
    <t>1. Mở menu Dashboard, vào màn hình Dashboard Doanh thu &amp; Đơn hàng
2. Bấm nút "Năm này"</t>
  </si>
  <si>
    <t>2. Từ ngày = 01/01/&lt;năm hiện tại&gt;; Đến ngày = hôm nay (ví dụ nguồn: Năm này 01/01–14/10)</t>
  </si>
  <si>
    <t>TC-FLT-007</t>
  </si>
  <si>
    <t>Kiểm tra chọn khoảng Từ ngày – Đến ngày 01/09/2026 – 30/09/2026 áp dụng cho mọi khối</t>
  </si>
  <si>
    <t>P1</t>
  </si>
  <si>
    <t>1. Theo SETUP-01: đăng nhập U-CRM
2. Theo SETUP-08: có truy vấn Sales, Transactions toàn Tam Sơn kỳ 01/09–30/09/2026</t>
  </si>
  <si>
    <t>Từ ngày: 01/09/2026; Đến ngày: 30/09/2026</t>
  </si>
  <si>
    <t>1. Mở menu Dashboard, vào màn hình Dashboard Doanh thu &amp; Đơn hàng
2. Nhập Từ ngày 01/09/2026, Đến ngày 30/09/2026 trên lịch chọn khoảng
3. Xem thẻ Sales, Transactions và biểu đồ Sales theo thời gian</t>
  </si>
  <si>
    <t>2. Ô hiển thị 01/09/2026 – 30/09/2026
3. Sales và Transactions bằng kết quả truy vấn SETUP-08 cùng kỳ; biểu đồ có 30 cột từ 01/09 đến 30/09</t>
  </si>
  <si>
    <t>Truy vấn đối soát: tính đơn 0đ [Giả định AS-01], tính đơn B2B [Cần xác nhận Q-16], loại ecom [Giả định AS-09]; trạng thái nút preset khi khoảng trùng Tháng trước: Q-45 (không kiểm)</t>
  </si>
  <si>
    <t>Needs Clarification (Q-16, Q-45, AS-01, AS-09)</t>
  </si>
  <si>
    <t>TC-FLT-008</t>
  </si>
  <si>
    <t>Kiểm tra chấp nhận khoảng 366 ngày (biên tối đa) 01/01/2025 – 01/01/2026</t>
  </si>
  <si>
    <t>Validation</t>
  </si>
  <si>
    <t>Boundary</t>
  </si>
  <si>
    <t>BVA</t>
  </si>
  <si>
    <t>Từ ngày: 01/01/2025; Đến ngày: 01/01/2026 (366 ngày)</t>
  </si>
  <si>
    <t>1. Mở menu Dashboard, vào màn hình Dashboard Doanh thu &amp; Đơn hàng
2. Nhập Từ ngày 01/01/2025, Đến ngày 01/01/2026 trên lịch chọn khoảng</t>
  </si>
  <si>
    <t>2. Kỳ được áp dụng, không có thông báo lỗi; ô hiển thị 01/01/2025 – 01/01/2026; KPI và biểu đồ tính lại (biểu đồ tự chọn Tháng, 13 cột)</t>
  </si>
  <si>
    <t>TC-FLT-009</t>
  </si>
  <si>
    <t>Kiểm tra chặn khoảng 367 ngày: báo lỗi và giữ nguyên kỳ đang xem</t>
  </si>
  <si>
    <t>Kỳ ban đầu: Tháng này; Từ ngày: 01/01/2025; Đến ngày: 02/01/2026 (367 ngày)</t>
  </si>
  <si>
    <t>1. Mở menu Dashboard, vào màn hình Dashboard Doanh thu &amp; Đơn hàng
2. Bấm nút "Tháng này" và ghi lại giá trị thẻ Sales
3. Nhập Từ ngày 01/01/2025, Đến ngày 02/01/2026 trên lịch chọn khoảng</t>
  </si>
  <si>
    <t>3. Hiển thị thông báo lỗi về khoảng vượt tối đa 366 ngày [Cần xác nhận Q-07]
- Kỳ vẫn là Tháng này; ô Từ ngày – Đến ngày, thẻ Sales và biểu đồ giữ nguyên như bước 2</t>
  </si>
  <si>
    <t>Nội dung lỗi: [Cần xác nhận Q-07]</t>
  </si>
  <si>
    <t>Needs Clarification (Q-07)</t>
  </si>
  <si>
    <t>TC-FLT-010</t>
  </si>
  <si>
    <t>Kiểm tra kỳ mặc định khi mở dashboard lần đầu là Tháng này</t>
  </si>
  <si>
    <t>1. Theo SETUP-01: đăng nhập U-CRM
2. Phiên đăng nhập mới (chưa mở dashboard trong phiên)</t>
  </si>
  <si>
    <t>1. Mở menu Dashboard, vào màn hình Dashboard Doanh thu &amp; Đơn hàng</t>
  </si>
  <si>
    <t>1. Nút Tháng này ở trạng thái đang chọn; Từ ngày = 01 tháng hiện tại, Đến ngày = hôm nay</t>
  </si>
  <si>
    <t>[Giả định AS-05] theo mockup</t>
  </si>
  <si>
    <t>TC-FLT-011</t>
  </si>
  <si>
    <t>REQ-UI-02</t>
  </si>
  <si>
    <t>Kiểm tra cách nhìn thuế mặc định khi mở dashboard là Sau thuế</t>
  </si>
  <si>
    <t>1. Theo SETUP-01: đăng nhập U-CRM
2. Phiên đăng nhập mới</t>
  </si>
  <si>
    <t>1. Nút "Sau thuế" ở trạng thái đang chọn; thẻ Sales, AOV, Avg Spending/Customer gắn nhãn "Sau thuế"</t>
  </si>
  <si>
    <t>[Giả định AS-04] theo mockup; OQ-SPM-15</t>
  </si>
  <si>
    <t>Needs Clarification (AS-04)</t>
  </si>
  <si>
    <t>TC-FLT-012</t>
  </si>
  <si>
    <t>FR-SPM-009</t>
  </si>
  <si>
    <t>Kiểm tra đổi Sau thuế sang Trước thuế không gọi lại API dữ liệu và hai số cùng snapshot</t>
  </si>
  <si>
    <t>Integration</t>
  </si>
  <si>
    <t>EG</t>
  </si>
  <si>
    <t>1. Theo SETUP-01: đăng nhập U-CRM
2. Theo SETUP-09: mở DevTools tab Network</t>
  </si>
  <si>
    <t>Kỳ: Tháng trước</t>
  </si>
  <si>
    <t>1. Mở menu Dashboard, vào màn hình Dashboard Doanh thu &amp; Đơn hàng
2. Bấm "Tháng trước", chờ tải xong, xoá log Network
3. Ghi lại Sales sau thuế và dòng phụ Trước thuế trên thẻ Sales
4. Bấm "Trước thuế"</t>
  </si>
  <si>
    <t>4. Tab Network không phát sinh request tải lại dữ liệu chỉ số
- Số chính thẻ Sales bằng giá trị dòng phụ Trước thuế ghi ở bước 3; dòng phụ mới bằng số Sau thuế ở bước 3</t>
  </si>
  <si>
    <t>AC-SPM-009-09</t>
  </si>
  <si>
    <t>TC-SCOPE-001</t>
  </si>
  <si>
    <t>02. Phạm vi dữ liệu &amp; phân quyền</t>
  </si>
  <si>
    <t>FR-SPM-001</t>
  </si>
  <si>
    <t>Kiểm tra Store Manager 2 store chỉ thấy số liệu ST1 + ST2, không gồm ST3</t>
  </si>
  <si>
    <t>Security</t>
  </si>
  <si>
    <t>PERM</t>
  </si>
  <si>
    <t>1. Theo SETUP-01: đăng nhập U-SM12
2. Theo SETUP-02 (ST1, ST2, ST3 có đơn ngày D)</t>
  </si>
  <si>
    <t>Kỳ: D – D</t>
  </si>
  <si>
    <t>1. Mở menu Dashboard, vào màn hình Dashboard Doanh thu &amp; Đơn hàng
2. Nhập Từ ngày D, Đến ngày D trên lịch chọn khoảng
3. Xem bộ chọn Store và các thẻ KPI</t>
  </si>
  <si>
    <t>3. Bộ chọn Store chỉ có ST1, ST2 (đã chọn cả hai)
- Transactions = 7 (ST1: 5, ST2: 2); Sales sau thuế = 46 600 000; không có đơn OC1, OC2 của ST3</t>
  </si>
  <si>
    <t>passed</t>
  </si>
  <si>
    <t>AC-SPM-001-01</t>
  </si>
  <si>
    <t>TC-SCOPE-002</t>
  </si>
  <si>
    <t>Kiểm tra Store Manager chọn riêng ST2 thì mọi chỉ số chỉ tính trên ST2</t>
  </si>
  <si>
    <t>1. Theo SETUP-01: đăng nhập U-SM12
2. Theo SETUP-02</t>
  </si>
  <si>
    <t>Kỳ: D – D; Store: ST2</t>
  </si>
  <si>
    <t>1. Mở menu Dashboard, vào màn hình Dashboard Doanh thu &amp; Đơn hàng
2. Nhập Từ ngày D, Đến ngày D trên lịch chọn khoảng
3. Mở bộ chọn Store, chỉ chọn ST2</t>
  </si>
  <si>
    <t>3. Sales sau thuế = 4 000 000; Transactions = 2; Total Customers = 2; Coupon % = 50.0%; AOV = 2 000 000; UPT = 0.50; Frequency = 1.00; Avg Spending = 2 000 000</t>
  </si>
  <si>
    <t>AC-SPM-001-02</t>
  </si>
  <si>
    <t>TC-SCOPE-003</t>
  </si>
  <si>
    <t>Kiểm tra Client Advisor chỉ thấy bill mình đứng tên, không thấy số cấp store</t>
  </si>
  <si>
    <t>1. Theo SETUP-01: đăng nhập U-CA-A
2. Theo SETUP-02</t>
  </si>
  <si>
    <t>1. Mở menu Dashboard, vào màn hình Dashboard Doanh thu &amp; Đơn hàng
2. Nhập Từ ngày D, Đến ngày D trên lịch chọn khoảng
3. Xem thẻ Transactions và các khối trên màn hình</t>
  </si>
  <si>
    <t>3. Transactions = 4 (O1, O2, O5, O6); không có O3 (chỉ CA-B đứng tên)
- Không có số cấp store ST1 (Transactions store = 5) ở bất kỳ khối nào; bộ chọn Store/lọc CA không cho xem phạm vi khác [Cần xác nhận Q-40]</t>
  </si>
  <si>
    <t>AC-SPM-001-03; [Cần xác nhận Q-40] hiển thị bộ lọc ở mức Cá nhân</t>
  </si>
  <si>
    <t>Needs Clarification (Q-40)</t>
  </si>
  <si>
    <t>TC-SCOPE-004</t>
  </si>
  <si>
    <t>Kiểm tra bill có 2 Client Advisor đứng tên được tính trọn cho cả hai, tổng 2 người lớn hơn store</t>
  </si>
  <si>
    <t>Edge</t>
  </si>
  <si>
    <t>DT</t>
  </si>
  <si>
    <t>1. Theo SETUP-01: tài khoản U-CA-A, U-CA-B, U-SM12
2. Theo SETUP-02</t>
  </si>
  <si>
    <t>Kỳ: D – D; bill chung: O2</t>
  </si>
  <si>
    <t>1. Đăng nhập U-CA-A, mở menu dashboard, vào màn hình dashboard doanh thu &amp; đơn hàng, chọn kỳ D – D, ghi Transactions
2. Đăng xuất, đăng nhập U-CA-B, chọn kỳ D – D, ghi Transactions
3. Đăng xuất, đăng nhập U-SM12, chọn kỳ D – D, chọn riêng ST1, ghi Transactions</t>
  </si>
  <si>
    <t>1. CA-A: Transactions = 4 (gồm O2)
2. CA-B: Transactions = 2 (gồm O2)
3. ST1: Transactions = 5; tổng CA-A + CA-B = 6 &gt; 5 vì O2 tính trọn cho cả hai</t>
  </si>
  <si>
    <t>AC-SPM-001-04; Sales mức Cá nhân phụ thuộc cách gán đơn trả [Cần xác nhận Q-31] nên dùng Transactions</t>
  </si>
  <si>
    <t>Needs Clarification (Q-31)</t>
  </si>
  <si>
    <t>TC-SCOPE-005</t>
  </si>
  <si>
    <t>Kiểm tra CRM Team thấy số toàn Tam Sơn khớp truy vấn đối soát</t>
  </si>
  <si>
    <t>1. Theo SETUP-01: đăng nhập U-CRM
2. Theo SETUP-07: môi trường có dữ liệu ~100 store
3. Theo SETUP-08: truy vấn Σ total đơn bán CO, đơn trả, số đơn bán toàn bộ store (trừ ecom) kỳ 01/09–30/09/2026</t>
  </si>
  <si>
    <t>Kỳ: 01/09/2026 – 30/09/2026</t>
  </si>
  <si>
    <t>1. Mở menu Dashboard, vào màn hình Dashboard Doanh thu &amp; Đơn hàng
2. Nhập Từ ngày 01/09/2026, Đến ngày 30/09/2026 trên lịch chọn khoảng
3. So sánh thẻ Sales sau thuế, Transactions với kết quả truy vấn</t>
  </si>
  <si>
    <t>3. Sales sau thuế = Σ total đơn bán − Σ total đơn trả của mọi store; Transactions = số đơn bán hợp lệ của mọi store</t>
  </si>
  <si>
    <t>Ecom loại khỏi truy vấn theo [Giả định AS-09]; đơn 0đ tính là transaction [Giả định AS-01]; đơn B2B tính [Cần xác nhận Q-16]</t>
  </si>
  <si>
    <t>Needs Clarification (Q-16, AS-01, AS-09)</t>
  </si>
  <si>
    <t>TC-SCOPE-006</t>
  </si>
  <si>
    <t>Kiểm tra tài khoản nhiều Position nhận phạm vi lớn nhất được cấp</t>
  </si>
  <si>
    <t>1. Theo SETUP-01: đăng nhập U-MULTI (Store Manager ST1 + Retail Manager Brand BR-1; BR-1 gồm ST1, ST3)</t>
  </si>
  <si>
    <t>1. Mở menu Dashboard, vào màn hình Dashboard Doanh thu &amp; Đơn hàng
2. Mở bộ chọn Store</t>
  </si>
  <si>
    <t>2. Danh sách gồm toàn bộ store Brand BR-1 (ST1, ST3 và store BR-1 khác) — phạm vi lớn nhất là Retail Manager BR-1; mặc định chọn tất cả; không có ST2 (BR-2)</t>
  </si>
  <si>
    <t>TC-SCOPE-007</t>
  </si>
  <si>
    <t>FR-SPM-001;FR-SPM-003</t>
  </si>
  <si>
    <t>Kiểm tra đơn đã huỷ (VO) không vào Sales và Transactions</t>
  </si>
  <si>
    <t>Negative</t>
  </si>
  <si>
    <t>1. Theo SETUP-01: đăng nhập U-SM12
2. Theo SETUP-02 (O7 3 000 000 đã chuyển VO)</t>
  </si>
  <si>
    <t>Kỳ: D – D; Store: ST1</t>
  </si>
  <si>
    <t>1. Mở menu Dashboard, vào màn hình Dashboard Doanh thu &amp; Đơn hàng
2. Nhập Từ ngày D, Đến ngày D trên lịch chọn khoảng
3. Mở bộ chọn Store, chỉ chọn ST1</t>
  </si>
  <si>
    <t>3. Transactions = 5 (không có O7); Sales sau thuế = 42 600 000 (không cộng 3 000 000 của O7)</t>
  </si>
  <si>
    <t>AC-SPM-001-07</t>
  </si>
  <si>
    <t>TC-SCOPE-008</t>
  </si>
  <si>
    <t>Kiểm tra đơn nháp/đang xử lý chưa hoàn tất không vào Sales và Transactions</t>
  </si>
  <si>
    <t>1. Theo SETUP-01: đăng nhập U-SM12
2. Theo SETUP-02 (O8 2 000 000 để trạng thái chưa hoàn tất)</t>
  </si>
  <si>
    <t>3. Transactions = 5 (không có O8); Sales sau thuế = 42 600 000 (không cộng 2 000 000 của O8)</t>
  </si>
  <si>
    <t>TC-SCOPE-009</t>
  </si>
  <si>
    <t>Kiểm tra đơn từ warehouse ecom 1000332 không xuất hiện ở phạm vi store nào</t>
  </si>
  <si>
    <t>1. Theo SETUP-01: đăng nhập U-SM12
2. Theo SETUP-03: 1 đơn CO warehouse 1000332, total 7 000 000, hoàn tất ngày E</t>
  </si>
  <si>
    <t>Kỳ: E – E</t>
  </si>
  <si>
    <t>1. Mở menu Dashboard, vào màn hình Dashboard Doanh thu &amp; Đơn hàng
2. Nhập Từ ngày E, Đến ngày E trên lịch chọn khoảng
3. Xem Sales và Transactions của ST1, ST2 và bảng Theo Store</t>
  </si>
  <si>
    <t>3. Không store nào có thêm 7 000 000 / 1 đơn; số liệu bằng số trước khi đẩy đơn ecom</t>
  </si>
  <si>
    <t>AC-SPM-001-06</t>
  </si>
  <si>
    <t>Blocked (SETUP-03)</t>
  </si>
  <si>
    <t>TC-SCOPE-010</t>
  </si>
  <si>
    <t>Kiểm tra đơn ecom không được tính ở mức Toàn Tam Sơn</t>
  </si>
  <si>
    <t>1. Theo SETUP-01: đăng nhập U-CRM
2. Theo SETUP-03: 1 đơn CO warehouse 1000333, total 7 000 000, hoàn tất ngày E</t>
  </si>
  <si>
    <t>1. Mở menu Dashboard, vào màn hình Dashboard Doanh thu &amp; Đơn hàng
2. Nhập Từ ngày E, Đến ngày E trên lịch chọn khoảng
3. So sánh Sales toàn Tam Sơn với truy vấn SETUP-08 có và không có đơn ecom</t>
  </si>
  <si>
    <t>3. Sales toàn Tam Sơn bằng giá trị không gồm đơn ecom [Giả định AS-09]</t>
  </si>
  <si>
    <t>[Giả định AS-09] OQ-SPM-06</t>
  </si>
  <si>
    <t>Blocked (SETUP-03, AS-09)</t>
  </si>
  <si>
    <t>TC-SCOPE-011</t>
  </si>
  <si>
    <t>Kiểm tra đơn hoàn tất 23:50 ngày 30/09 (UTC+7) thuộc kỳ tháng 9</t>
  </si>
  <si>
    <t>1. Theo SETUP-01: đăng nhập U-SM12
2. Theo SETUP-03: đơn CO tại ST2, total 1 234 000, hoàn tất 30/09/2026 23:50:00 +07:00</t>
  </si>
  <si>
    <t>1. Mở menu Dashboard, vào màn hình Dashboard Doanh thu &amp; Đơn hàng
2. Nhập Từ ngày 01/09/2026, Đến ngày 30/09/2026 trên lịch chọn khoảng
3. Mở bộ chọn Store, chỉ chọn ST2</t>
  </si>
  <si>
    <t>3. Sales và Transactions của ST2 gồm đơn này (+1 234 000; +1)</t>
  </si>
  <si>
    <t>AC-SPM-001-05</t>
  </si>
  <si>
    <t>TC-SCOPE-012</t>
  </si>
  <si>
    <t>Kiểm tra đơn hoàn tất 00:00:30 ngày 01/10 (UTC+7) không thuộc kỳ tháng 9</t>
  </si>
  <si>
    <t>1. Theo SETUP-01: đăng nhập U-SM12
2. Theo SETUP-03: đơn CO tại ST2, total 4 321 000, hoàn tất 01/10/2026 00:00:30 +07:00</t>
  </si>
  <si>
    <t>Kỳ 1: 01/09/2026 – 30/09/2026; Kỳ 2: 01/10/2026 – 01/10/2026</t>
  </si>
  <si>
    <t>1. Mở menu Dashboard, vào màn hình Dashboard Doanh thu &amp; Đơn hàng
2. Mở bộ chọn Store, chỉ chọn ST2
3. Nhập Từ ngày 01/09/2026, Đến ngày 30/09/2026 trên lịch chọn khoảng
4. Nhập Từ ngày 01/10/2026, Đến ngày 01/10/2026 trên lịch chọn khoảng</t>
  </si>
  <si>
    <t>3. Sales tháng 9 của ST2 không gồm 4 321 000
4. Sales ngày 01/10 của ST2 gồm 4 321 000</t>
  </si>
  <si>
    <t>TC-SCOPE-013</t>
  </si>
  <si>
    <t>Kiểm tra gọi API số liệu với store ngoài phạm vi (ST3) bị từ chối</t>
  </si>
  <si>
    <t>1. Theo SETUP-01: đăng nhập U-SM12
2. Theo SETUP-09: DevTools tab Network</t>
  </si>
  <si>
    <t>Store ngoài phạm vi: ST3</t>
  </si>
  <si>
    <t>1. Mở menu Dashboard, vào màn hình Dashboard Doanh thu &amp; Đơn hàng
2. Trong Network, copy request lấy số liệu dashboard (Copy as fetch/cURL)
3. Sửa tham số store thành ID của ST3, gửi lại bằng phiên của U-SM12</t>
  </si>
  <si>
    <t>3. Hệ thống từ chối: response không chứa Sales/Transactions của ST3 (lỗi phân quyền hoặc dữ liệu rỗng), không trả số của ST3</t>
  </si>
  <si>
    <t>AC-SPM-001-08; BR-SPM-001 áp dụng ở tầng truy vấn</t>
  </si>
  <si>
    <t>TC-SCOPE-014</t>
  </si>
  <si>
    <t>Kiểm tra Client Advisor gọi API lấy số store hoặc số của CA khác bị từ chối</t>
  </si>
  <si>
    <t>1. Theo SETUP-01: đăng nhập U-CA-A
2. Theo SETUP-09: DevTools tab Network</t>
  </si>
  <si>
    <t>Phạm vi thử: ST1 cấp store; nhân viên U-CA-B</t>
  </si>
  <si>
    <t>1. Mở menu Dashboard, vào màn hình Dashboard Doanh thu &amp; Đơn hàng
2. Copy request lấy số liệu dashboard
3. Sửa tham số phạm vi thành cấp store ST1, gửi lại
4. Sửa tham số nhân viên thành U-CA-B, gửi lại</t>
  </si>
  <si>
    <t>3. Không trả số cấp store ST1
4. Không trả số của U-CA-B</t>
  </si>
  <si>
    <t>BR-SPM-001</t>
  </si>
  <si>
    <t>TC-SCOPE-015</t>
  </si>
  <si>
    <t>FR-SPM-001;FR-SPM-011</t>
  </si>
  <si>
    <t>Kiểm tra bộ chọn Store không cho tìm hoặc chọn store ngoài phạm vi</t>
  </si>
  <si>
    <t>1. Theo SETUP-01: đăng nhập U-SM12</t>
  </si>
  <si>
    <t>Từ khoá: tên ST3</t>
  </si>
  <si>
    <t>1. Mở menu Dashboard, vào màn hình Dashboard Doanh thu &amp; Đơn hàng
2. Mở bộ chọn Store, gõ tên ST3 vào ô tìm kiếm</t>
  </si>
  <si>
    <t>2. Không có kết quả ST3; danh sách chỉ có thể chứa ST1, ST2</t>
  </si>
  <si>
    <t>BR-SPM-020: không mở rộng ngoài phạm vi</t>
  </si>
  <si>
    <t>TC-SCOPE-016</t>
  </si>
  <si>
    <t>Kiểm tra đơn không có nhân viên đứng tên tính ở mức store nhưng không ở mức Cá nhân</t>
  </si>
  <si>
    <t>1. Theo SETUP-01: U-SM12, U-CA-A, U-CA-B
2. Theo SETUP-03: đơn CO tại ST1, list_employees = [], total 2 222 000, hoàn tất ngày E</t>
  </si>
  <si>
    <t>1. Đăng nhập U-SM12, mở dashboard, chọn kỳ E – E, chọn riêng ST1
2. Đăng nhập lần lượt U-CA-A, U-CA-B, chọn kỳ E – E</t>
  </si>
  <si>
    <t>1. Sales ST1 gồm 2 222 000, Transactions gồm đơn này
2. Không Client Advisor nào có đơn này trong Sales/Transactions</t>
  </si>
  <si>
    <t>AC-SPM-001-09</t>
  </si>
  <si>
    <t>TC-SCOPE-017</t>
  </si>
  <si>
    <t>REQ-UI-05;FR-SPM-011</t>
  </si>
  <si>
    <t>Kiểm tra giao diện vai trò Cá nhân chỉ có biểu đồ thời gian và thẻ giải thích thay bảng</t>
  </si>
  <si>
    <t>1. Theo SETUP-01: đăng nhập U-CA-A</t>
  </si>
  <si>
    <t>Kỳ: Tháng này</t>
  </si>
  <si>
    <t>1. Mở menu Dashboard, vào màn hình Dashboard Doanh thu &amp; Đơn hàng
2. Cuộn qua khối biểu đồ và khối bảng</t>
  </si>
  <si>
    <t>2. Có biểu đồ Sales theo thời gian; không có panel Xếp hạng Top 10 / Bottom 10
- Không có bảng breakdown; thay bằng thẻ giải thích nội dung "tính trọn bill mình đứng tên"</t>
  </si>
  <si>
    <t>TC-SCOPE-018</t>
  </si>
  <si>
    <t>Kiểm tra đăng xuất rồi đăng nhập vai trò khác không giữ phạm vi store cũ</t>
  </si>
  <si>
    <t>1. Theo SETUP-01: U-CRM, U-SM12</t>
  </si>
  <si>
    <t>1. Đăng nhập U-CRM, mở dashboard, chọn riêng 1 store ngoài ST1/ST2
2. Đăng xuất
3. Đăng nhập U-SM12 trên cùng trình duyệt, mở dashboard</t>
  </si>
  <si>
    <t>3. Bộ chọn Store chỉ có ST1, ST2 và đang chọn cả hai; không còn store chọn ở bước 1</t>
  </si>
  <si>
    <t>TC-SCOPE-019</t>
  </si>
  <si>
    <t>Kiểm tra đơn đồng bộ chậm từ HUB thuộc kỳ cũ làm thay đổi số của kỳ cũ</t>
  </si>
  <si>
    <t>1. Theo SETUP-01: đăng nhập U-SM12
2. Theo SETUP-03: đẩy qua HUB 1 đơn CO tại ST2, total 3 333 000, ngày hoàn tất 15/09/2026, sau khi đã ghi số tháng 9</t>
  </si>
  <si>
    <t>1. Mở menu Dashboard, vào màn hình Dashboard Doanh thu &amp; Đơn hàng
2. Nhập Từ ngày 01/09/2026, Đến ngày 30/09/2026 trên lịch chọn khoảng
3. Mở bộ chọn Store, chỉ chọn ST2, ghi Sales
4. Đẩy đơn chậm qua HUB, chờ đồng bộ, tải lại dashboard với cùng kỳ</t>
  </si>
  <si>
    <t>4. Sales tháng 9 của ST2 tăng 3 333 000, Transactions tăng 1 (không có ngày chốt số liệu)</t>
  </si>
  <si>
    <t>TC-SCOPE-020</t>
  </si>
  <si>
    <t>Kiểm tra mức Cá nhân không phụ thuộc PIC: bill của khách có PIC là CA-A nhưng chỉ CA-B đứng tên chỉ tính cho CA-B</t>
  </si>
  <si>
    <t>1. Theo SETUP-01: tài khoản U-CA-A, U-CA-B
2. Theo SETUP-05: khách KP có PIC = U-CA-A tại ST1
3. Theo SETUP-11: ngày G (U-CA-A, U-CA-B không có đơn khác ngày G), tạo tại ST1 bill BP của KP, total 3 000 000, chỉ U-CA-B đứng tên</t>
  </si>
  <si>
    <t>Kỳ: G – G; bill BP 3 000 000; đứng tên: U-CA-B; PIC của khách: U-CA-A</t>
  </si>
  <si>
    <t>1. Mở menu Dashboard, vào màn hình Dashboard Doanh thu &amp; Đơn hàng bằng U-CA-A
2. Nhập Từ ngày G, Đến ngày G trên lịch chọn khoảng
3. Đăng xuất, đăng nhập U-CA-B, mở dashboard, nhập kỳ G – G</t>
  </si>
  <si>
    <t>2. U-CA-A: Transactions = 0, Sales = 0 (bill BP không tính dù U-CA-A là PIC của khách)
3. U-CA-B: Transactions = 1, Sales = 3 000 000</t>
  </si>
  <si>
    <t>Review R-08; BR-SPM-002</t>
  </si>
  <si>
    <t>TC-SCOPE-021</t>
  </si>
  <si>
    <t>Kiểm tra Store Manager chỉ được gán 1 store: nhãn là tên store, xếp hạng Client Advisor, không có tab Theo Store</t>
  </si>
  <si>
    <t>1. Theo SETUP-01: đăng nhập U-SM1 (Store Manager chỉ ST1)
2. Theo SETUP-02</t>
  </si>
  <si>
    <t>1. Mở menu Dashboard, vào màn hình Dashboard Doanh thu &amp; Đơn hàng
2. Nhập Từ ngày D, Đến ngày D trên lịch chọn khoảng
3. Mở bộ chọn Store, bỏ chọn ST1
4. Xem panel xếp hạng, bảng breakdown và bộ lọc Client Advisor</t>
  </si>
  <si>
    <t>2. Nhãn bộ chọn Store là tên ST1; Sales = 42 600 000, Transactions = 5
3. ST1 vẫn được chọn (không bỏ được store cuối)
4. Panel xếp hạng Client Advisor của ST1; bảng không có tab Theo Store, có tab Theo Client Advisor; bộ lọc Client Advisor khả dụng (1 store ≤ 5)</t>
  </si>
  <si>
    <t>Review R-09; BR-SPM-020…023</t>
  </si>
  <si>
    <t>TC-SCOPE-022</t>
  </si>
  <si>
    <t>Kiểm tra biên dưới của kỳ: đơn 00:00:00 ngày đầu kỳ thuộc kỳ, đơn 23:59:59 ngày liền trước không thuộc</t>
  </si>
  <si>
    <t>1. Theo SETUP-01: đăng nhập U-SM12
2. Theo SETUP-03: tại ST2, đơn A total 1 111 000 hoàn tất (H−1) 23:59:59 +07:00; đơn B total 2 222 000 hoàn tất H 00:00:00 +07:00; ST2 không có đơn khác ngày H−1, H</t>
  </si>
  <si>
    <t>Kỳ 1: H – H; Kỳ 2: H−1 – H−1; Store: ST2</t>
  </si>
  <si>
    <t>1. Mở menu Dashboard, vào màn hình Dashboard Doanh thu &amp; Đơn hàng
2. Mở bộ chọn Store, chỉ chọn ST2
3. Nhập Từ ngày H, Đến ngày H trên lịch chọn khoảng
4. Nhập Từ ngày H−1, Đến ngày H−1 trên lịch chọn khoảng</t>
  </si>
  <si>
    <t>3. Sales = 2 222 000; Transactions = 1 (chỉ đơn B)
4. Sales = 1 111 000; Transactions = 1 (chỉ đơn A)</t>
  </si>
  <si>
    <t>Review R-18</t>
  </si>
  <si>
    <t>TC-SCOPE-023</t>
  </si>
  <si>
    <t>Kiểm tra truy cập dashboard và API số liệu khi chưa đăng nhập bị chặn</t>
  </si>
  <si>
    <t>1. Chưa đăng nhập (xoá cookie phiên)
2. Theo SETUP-09: đã copy URL dashboard và request API số liệu từ một phiên hợp lệ trước đó</t>
  </si>
  <si>
    <t>URL dashboard; request API số liệu</t>
  </si>
  <si>
    <t>1. Mở URL dashboard trên trình duyệt chưa đăng nhập
2. Gửi lại request API số liệu không kèm phiên</t>
  </si>
  <si>
    <t>1. Chuyển tới màn hình đăng nhập, không hiển thị số liệu
2. Không trả số liệu (lỗi xác thực)</t>
  </si>
  <si>
    <t>Review R-35; BR-SPM-001</t>
  </si>
  <si>
    <t>TC-SALES-001</t>
  </si>
  <si>
    <t>03. Sales (số đo nền)</t>
  </si>
  <si>
    <t>FR-SPM-002</t>
  </si>
  <si>
    <t>Kiểm tra Sales sau thuế ST1 ngày D = 42 600 000 (đã trừ đơn trả R1)</t>
  </si>
  <si>
    <t>Kỳ: D – D; Store: ST1; bán 48 000 000; trả R1 5 400 000</t>
  </si>
  <si>
    <t>1. Mở menu Dashboard, vào màn hình Dashboard Doanh thu &amp; Đơn hàng
2. Nhập Từ ngày D, Đến ngày D trên lịch chọn khoảng
3. Mở bộ chọn Store, chỉ chọn ST1
4. Đảm bảo đang chọn "Sau thuế", xem thẻ Sales</t>
  </si>
  <si>
    <t>4. Thẻ Sales = 42 600 000 (12 525 500 + 10 000 000 + 9 474 500 + 8 000 000 + 8 000 000 − 5 400 000), nhãn Sau thuế</t>
  </si>
  <si>
    <t>AC-SPM-002-01</t>
  </si>
  <si>
    <t>TC-SALES-002</t>
  </si>
  <si>
    <t>Kiểm tra Sales trước thuế ST1 ngày D = Sales sau thuế − (Σ tax_total đơn bán − Σ tax_total đơn trả)</t>
  </si>
  <si>
    <t>1. Theo SETUP-01: đăng nhập U-SM12
2. Theo SETUP-02
3. Theo SETUP-08: đã ghi tax_total của O1, O2, O3, O5, O6, R1</t>
  </si>
  <si>
    <t>1. Mở menu Dashboard, vào màn hình Dashboard Doanh thu &amp; Đơn hàng
2. Nhập Từ ngày D, Đến ngày D trên lịch chọn khoảng
3. Mở bộ chọn Store, chỉ chọn ST1
4. Bấm "Trước thuế", xem thẻ Sales</t>
  </si>
  <si>
    <t>4. Thẻ Sales = 42 600 000 − (Σ tax_total O1, O2, O3, O5, O6 − tax_total R1), nhãn Trước thuế; giá trị ≤ 42 600 000
- Không bằng Σ subtotal (không dùng subtotal)</t>
  </si>
  <si>
    <t>AC-SPM-002-07, 08; đơn trả: [Cần xác nhận Q-18]</t>
  </si>
  <si>
    <t>Needs Clarification (Q-18)</t>
  </si>
  <si>
    <t>TC-SALES-003</t>
  </si>
  <si>
    <t>FR-SPM-002;FR-SPM-001</t>
  </si>
  <si>
    <t>Kiểm tra đơn trả cross-period trừ vào kỳ của ngày trả, kỳ của đơn bán giữ nguyên</t>
  </si>
  <si>
    <t>1. Theo SETUP-01: đăng nhập U-SM12
2. Theo SETUP-02 (O0 bán ngày D−1 3 200 000; R2 trả 1 sp O0 ngày D+1 1 600 000)</t>
  </si>
  <si>
    <t>Store: ST1; Kỳ 1: D−1 – D−1; Kỳ 2: D+1 – D+1</t>
  </si>
  <si>
    <t>1. Mở menu Dashboard, vào màn hình Dashboard Doanh thu &amp; Đơn hàng
2. Mở bộ chọn Store, chỉ chọn ST1
3. Nhập Từ ngày D−1, Đến ngày D−1 trên lịch chọn khoảng
4. Nhập Từ ngày D+1, Đến ngày D+1 trên lịch chọn khoảng</t>
  </si>
  <si>
    <t>3. Sales ngày D−1 = 3 200 000 (không bị trừ R2)
4. Sales ngày D+1 = −6 600 000 (gồm −1 600 000 của R2 và −5 000 000 của R3)</t>
  </si>
  <si>
    <t>AC-SPM-002-02, BR-SPM-004</t>
  </si>
  <si>
    <t>TC-SALES-004</t>
  </si>
  <si>
    <t>FR-SPM-002;FR-SPM-009</t>
  </si>
  <si>
    <t>Kiểm tra kỳ chỉ có đơn trả hiển thị Sales âm −6 600 000 có dấu − và màu Error</t>
  </si>
  <si>
    <t>Kỳ: D+1 – D+1; Store: ST1</t>
  </si>
  <si>
    <t>1. Mở menu Dashboard, vào màn hình Dashboard Doanh thu &amp; Đơn hàng
2. Nhập Từ ngày D+1, Đến ngày D+1 trên lịch chọn khoảng
3. Mở bộ chọn Store, chỉ chọn ST1</t>
  </si>
  <si>
    <t>3. Thẻ Sales hiển thị −6 600 000 (dấu −, tách nghìn khoảng trắng), chữ màu Error; không hiển thị 0</t>
  </si>
  <si>
    <t>AC-SPM-002-03, AC-SPM-009-05</t>
  </si>
  <si>
    <t>TC-SALES-005</t>
  </si>
  <si>
    <t>Kiểm tra đơn trả toàn bộ trong cùng kỳ đóng góp 0 vào Sales ở cả hai cách nhìn</t>
  </si>
  <si>
    <t>1. Theo SETUP-01: đăng nhập U-SM12
2. Theo SETUP-02 (ST2: OB1 4 000 000; OB2 6 000 000 trả toàn bộ RB2 cùng ngày D)
3. Theo SETUP-08: đã ghi tax_total OB1</t>
  </si>
  <si>
    <t>1. Mở menu Dashboard, vào màn hình Dashboard Doanh thu &amp; Đơn hàng
2. Nhập Từ ngày D, Đến ngày D trên lịch chọn khoảng
3. Mở bộ chọn Store, chỉ chọn ST2
4. Bấm "Trước thuế"</t>
  </si>
  <si>
    <t>3. Sales sau thuế = 4 000 000 (OB2 và RB2 triệt tiêu)
4. Sales trước thuế = 4 000 000 − tax_total OB1 (OB2 đóng góp 0)</t>
  </si>
  <si>
    <t>AC-SPM-002-06; đơn trả: [Cần xác nhận Q-18]</t>
  </si>
  <si>
    <t>TC-SALES-006</t>
  </si>
  <si>
    <t>Kiểm tra đơn 0đ không làm thay đổi Sales ở cả hai cách nhìn</t>
  </si>
  <si>
    <t>1. Theo SETUP-01: đăng nhập U-SM12
2. Theo SETUP-02 (ST2 ngày D+3: OB5 0đ coupon 100%; OB6 2 000 000)
3. Theo SETUP-08: đã ghi tax_total OB6</t>
  </si>
  <si>
    <t>Kỳ: D+3 – D+3; Store: ST2</t>
  </si>
  <si>
    <t>1. Mở menu Dashboard, vào màn hình Dashboard Doanh thu &amp; Đơn hàng
2. Nhập Từ ngày D+3, Đến ngày D+3 trên lịch chọn khoảng
3. Mở bộ chọn Store, chỉ chọn ST2
4. Bấm "Trước thuế"</t>
  </si>
  <si>
    <t>3. Sales sau thuế = 2 000 000
4. Sales trước thuế = 2 000 000 − tax_total OB6</t>
  </si>
  <si>
    <t>AC-SPM-002-13 (phần Sales)</t>
  </si>
  <si>
    <t>TC-SALES-007</t>
  </si>
  <si>
    <t>Kiểm tra header subtotal = 0, tax_total = 0, total 3 836 000: cả hai cách nhìn +3 836 000 và ghi log thiếu VAT</t>
  </si>
  <si>
    <t>1. Theo SETUP-01: đăng nhập U-SM12
2. Theo SETUP-03: đơn CO tại ST2 ngày E, subtotal 0, discount_total 0, tax_total 0, total 3 836 000 (ST2 không có đơn khác ngày E)</t>
  </si>
  <si>
    <t>Kỳ: E – E; Store: ST2</t>
  </si>
  <si>
    <t>1. Mở menu Dashboard, vào màn hình Dashboard Doanh thu &amp; Đơn hàng
2. Nhập Từ ngày E, Đến ngày E trên lịch chọn khoảng
3. Mở bộ chọn Store, chỉ chọn ST2
4. Bấm "Trước thuế"
5. Theo SETUP-08: đọc log cảnh báo của lần tính số</t>
  </si>
  <si>
    <t>3. Sales sau thuế = 3 836 000
4. Sales trước thuế = 3 836 000
5. Có log cảnh báo thiếu VAT cho đơn này; số không bị tự sửa</t>
  </si>
  <si>
    <t>AC-SPM-002-04, BR-SPM-003</t>
  </si>
  <si>
    <t>TC-SALES-008</t>
  </si>
  <si>
    <t>Kiểm tra đơn đã tính vào Sales sau đó chuyển VO thì tự rời khỏi Sales</t>
  </si>
  <si>
    <t>ST</t>
  </si>
  <si>
    <t>1. Theo SETUP-01: đăng nhập U-SM12
2. Theo SETUP-03: đơn CO tại ST2 ngày E total 5 555 000 đã hiển thị trong Sales; ERP chuyển đơn sang VO</t>
  </si>
  <si>
    <t>1. Mở menu Dashboard, vào màn hình Dashboard Doanh thu &amp; Đơn hàng
2. Nhập Từ ngày E, Đến ngày E trên lịch chọn khoảng
3. Mở bộ chọn Store, chỉ chọn ST2, ghi Sales và Transactions
4. Chuyển đơn sang VO qua HUB, chờ đồng bộ, tải lại dashboard</t>
  </si>
  <si>
    <t>4. Sales giảm 5 555 000, Transactions giảm 1; không phát sinh bút toán âm riêng</t>
  </si>
  <si>
    <t>AC-SPM-002-05</t>
  </si>
  <si>
    <t>TC-SALES-009</t>
  </si>
  <si>
    <t>Kiểm tra đơn thật subtotal 11 386 818, tax 1 138 682, total 12 525 500 đóng góp đúng hai cách nhìn</t>
  </si>
  <si>
    <t>1. Theo SETUP-01: đăng nhập U-SM12
2. Theo SETUP-03: đơn CO duy nhất tại ST2 ngày E với header như Test_Data</t>
  </si>
  <si>
    <t>subtotal 11 386 818; discount_total 0; tax_total 1 138 682; total 12 525 500</t>
  </si>
  <si>
    <t>1. Mở menu Dashboard, vào màn hình Dashboard Doanh thu &amp; Đơn hàng
2. Nhập Từ ngày E, Đến ngày E trên lịch chọn khoảng
3. Mở bộ chọn Store, chỉ chọn ST2
4. Bấm "Trước thuế"</t>
  </si>
  <si>
    <t>3. Sales sau thuế = 12 525 500
4. Sales trước thuế = 11 386 818</t>
  </si>
  <si>
    <t>AC-SPM-002-09</t>
  </si>
  <si>
    <t>TC-SALES-010</t>
  </si>
  <si>
    <t>Kiểm tra đơn có giảm giá: Sales trước thuế 11 000 000, không phải subtotal 12 000 000</t>
  </si>
  <si>
    <t>1. Theo SETUP-01: đăng nhập U-SM12
2. Theo SETUP-03: đơn CO duy nhất tại ST2 ngày E</t>
  </si>
  <si>
    <t>subtotal 12 000 000; discount_total 1 000 000; tax_total 880 000; total 11 880 000</t>
  </si>
  <si>
    <t>3. Sales sau thuế = 11 880 000
4. Sales trước thuế = 11 000 000</t>
  </si>
  <si>
    <t>AC-SPM-002-10</t>
  </si>
  <si>
    <t>TC-SALES-011</t>
  </si>
  <si>
    <t>Kiểm tra đơn 2 thuế suất dùng tax_total ERP: trước thuế 15 000 000, không phải 14 909 091</t>
  </si>
  <si>
    <t>1. Theo SETUP-01: đăng nhập U-SM12
2. Theo SETUP-03: đơn CO duy nhất tại ST2 ngày E, 2 dòng thuế suất 10% và 8%</t>
  </si>
  <si>
    <t>tax_total 1 400 000; total 16 400 000</t>
  </si>
  <si>
    <t>4. Sales trước thuế = 15 000 000</t>
  </si>
  <si>
    <t>AC-SPM-002-11</t>
  </si>
  <si>
    <t>TC-SALES-012</t>
  </si>
  <si>
    <t>Kiểm tra đơn trả total 5 400 000, tax 400 000 trừ −5 400 000 sau thuế và −5 000 000 trước thuế</t>
  </si>
  <si>
    <t>1. Theo SETUP-01: đăng nhập U-SM12
2. Theo SETUP-03: ngày E tại ST2 chỉ có 1 đơn trả hoàn tất (total 5 400 000, tax_total 400 000)</t>
  </si>
  <si>
    <t>3. Sales sau thuế = −5 400 000
4. Sales trước thuế = −5 000 000</t>
  </si>
  <si>
    <t>AC-SPM-002-12; [Cần xác nhận Q-18]</t>
  </si>
  <si>
    <t>Blocked (SETUP-03, Q-18)</t>
  </si>
  <si>
    <t>TC-SALES-013</t>
  </si>
  <si>
    <t>Kiểm tra lệch công thức header đúng 1đ không ghi log cảnh báo</t>
  </si>
  <si>
    <t>1. Theo SETUP-03: đơn CO subtotal 10 000 000, discount_total 0, tax_total 1 000 000, total 11 000 001</t>
  </si>
  <si>
    <t>Lệch: 1đ</t>
  </si>
  <si>
    <t>1. Chờ job tính số xử lý đơn
2. Theo SETUP-08: đọc log cảnh báo kiểm tra chéo
3. Xem Sales sau thuế của store/ngày chứa đơn</t>
  </si>
  <si>
    <t>2. Không có log cảnh báo kiểm tra chéo cho đơn này
3. Đơn đóng góp 11 000 001 vào Sales sau thuế</t>
  </si>
  <si>
    <t>TC-SALES-014</t>
  </si>
  <si>
    <t>Kiểm tra lệch công thức header 2đ ghi log cảnh báo nhưng số vẫn theo total ERP</t>
  </si>
  <si>
    <t>1. Theo SETUP-03: đơn CO subtotal 10 000 000, discount_total 0, tax_total 1 000 000, total 11 000 002</t>
  </si>
  <si>
    <t>Lệch: 2đ</t>
  </si>
  <si>
    <t>2. Có log cảnh báo lệch công thức header
3. Đơn đóng góp 11 000 002 vào Sales sau thuế (không tự sửa)</t>
  </si>
  <si>
    <t>TC-SALES-015</t>
  </si>
  <si>
    <t>Kiểm tra tax_total lớn hơn total ghi log cảnh báo, số vẫn lấy theo ERP</t>
  </si>
  <si>
    <t>1. Theo SETUP-03: đơn CO duy nhất tại ST2 ngày E, total 1 000 000, tax_total 1 200 000</t>
  </si>
  <si>
    <t>1. Theo SETUP-08: đọc log cảnh báo kiểm tra chéo
2. Mở menu Dashboard, vào màn hình Dashboard Doanh thu &amp; Đơn hàng, chọn kỳ E – E, chọn riêng ST2, bấm "Trước thuế"</t>
  </si>
  <si>
    <t>1. Có log cảnh báo tax_total lớn hơn total
2. Sales trước thuế = −200 000 (1 000 000 − 1 200 000), không bị tự sửa</t>
  </si>
  <si>
    <t>TC-SALES-016</t>
  </si>
  <si>
    <t>Kiểm tra đơn của khách B2B được tính vào Sales</t>
  </si>
  <si>
    <t>1. Theo SETUP-01: đăng nhập U-SM12
2. Theo SETUP-05: khách B2B KB
3. Ngày E: tạo trên POS tại ST2 1 đơn của KB total 9 000 000 (ST2 không có đơn khác ngày E)</t>
  </si>
  <si>
    <t>1. Mở menu Dashboard, vào màn hình Dashboard Doanh thu &amp; Đơn hàng
2. Nhập Từ ngày E, Đến ngày E trên lịch chọn khoảng
3. Mở bộ chọn Store, chỉ chọn ST2</t>
  </si>
  <si>
    <t>3. Sales sau thuế = 9 000 000; Transactions = 1 [Cần xác nhận Q-16]</t>
  </si>
  <si>
    <t>[Cần xác nhận Q-16] OQ-SPM-05 đề xuất tính</t>
  </si>
  <si>
    <t>Needs Clarification (Q-16)</t>
  </si>
  <si>
    <t>TC-SALES-017</t>
  </si>
  <si>
    <t>Kiểm tra tax_total âm ghi log cảnh báo kiểm tra chéo, số trước thuế vẫn lấy theo ERP</t>
  </si>
  <si>
    <t>1. Theo SETUP-01: đăng nhập U-SM12
2. Theo SETUP-03: đơn CO duy nhất tại ST2 ngày E, total 1 000 000, tax_total −100 000</t>
  </si>
  <si>
    <t>1. Theo SETUP-08: đọc log cảnh báo kiểm tra chéo
2. Mở menu Dashboard, vào màn hình Dashboard Doanh thu &amp; Đơn hàng, chọn kỳ E – E, chọn riêng ST2
3. Bấm "Trước thuế"</t>
  </si>
  <si>
    <t>1. Có log cảnh báo tax_total âm cho đơn này
2. Sales sau thuế = 1 000 000
3. Sales trước thuế = 1 100 000 (1 000 000 − (−100 000)), không bị tự sửa</t>
  </si>
  <si>
    <t>Review R-19; BR-SPM-014</t>
  </si>
  <si>
    <t>TC-TRX-001</t>
  </si>
  <si>
    <t>04. Transactions</t>
  </si>
  <si>
    <t>FR-SPM-003</t>
  </si>
  <si>
    <t>Kiểm tra Transactions ST1 ngày D = 5, gồm đơn của khách lẻ O5</t>
  </si>
  <si>
    <t>3. Transactions = 5 (O1, O2, O3, O5 của Khách lẻ, O6); đơn trả R1 không làm giảm</t>
  </si>
  <si>
    <t>AC-SPM-003-05</t>
  </si>
  <si>
    <t>TC-TRX-002</t>
  </si>
  <si>
    <t>Kiểm tra đơn 6 dòng sản phẩm, 3 nhân viên đứng tên chỉ đóng góp 1 transaction</t>
  </si>
  <si>
    <t>1. Theo SETUP-01: đăng nhập U-CRM
2. Theo SETUP-02 (ST3 ngày D: OC1 6 dòng, 3 nhân viên; OC2)</t>
  </si>
  <si>
    <t>Kỳ: D – D; Store: ST3</t>
  </si>
  <si>
    <t>1. Mở menu Dashboard, vào màn hình Dashboard Doanh thu &amp; Đơn hàng
2. Nhập Từ ngày D, Đến ngày D trên lịch chọn khoảng
3. Mở bộ chọn Store, chỉ chọn ST3</t>
  </si>
  <si>
    <t>3. Transactions = 2 (OC1 đếm 1, OC2 đếm 1)</t>
  </si>
  <si>
    <t>AC-SPM-003-02</t>
  </si>
  <si>
    <t>TC-TRX-003</t>
  </si>
  <si>
    <t>Kiểm tra đơn bán đã trả toàn bộ trong kỳ vẫn đếm 1 transaction</t>
  </si>
  <si>
    <t>1. Theo SETUP-01: đăng nhập U-SM12
2. Theo SETUP-02 (ST2 ngày D: OB1; OB2 trả toàn bộ)</t>
  </si>
  <si>
    <t>3. Transactions = 2 (OB2 vẫn đếm dù đã trả toàn bộ)</t>
  </si>
  <si>
    <t>AC-SPM-003-03, BR-SPM-005</t>
  </si>
  <si>
    <t>TC-TRX-004</t>
  </si>
  <si>
    <t>Kiểm tra đơn 0đ (coupon 100%) được đếm vào Transactions</t>
  </si>
  <si>
    <t>1. Theo SETUP-01: đăng nhập U-SM12
2. Theo SETUP-02 (ST2 ngày D+3: OB5 0đ; OB6 2 000 000)</t>
  </si>
  <si>
    <t>1. Mở menu Dashboard, vào màn hình Dashboard Doanh thu &amp; Đơn hàng
2. Nhập Từ ngày D+3, Đến ngày D+3 trên lịch chọn khoảng
3. Mở bộ chọn Store, chỉ chọn ST2</t>
  </si>
  <si>
    <t>3. Transactions = 2 (gồm OB5 0đ) [Giả định AS-01]</t>
  </si>
  <si>
    <t>[Giả định AS-01] AC-SPM-003-01, 06</t>
  </si>
  <si>
    <t>Needs Clarification (AS-01)</t>
  </si>
  <si>
    <t>TC-FREQ-001</t>
  </si>
  <si>
    <t>05. Frequency</t>
  </si>
  <si>
    <t>FR-SPM-004</t>
  </si>
  <si>
    <t>Kiểm tra Frequency ST1 ngày D = 5 ÷ 4 = 1.25</t>
  </si>
  <si>
    <t>Kỳ: D – D; Store: ST1; khách: K1, K2 (2 đơn), K3, K7</t>
  </si>
  <si>
    <t>3. Total Customers = 4; Frequency = 1.25</t>
  </si>
  <si>
    <t>AC-SPM-004-02</t>
  </si>
  <si>
    <t>TC-FREQ-002</t>
  </si>
  <si>
    <t>Kiểm tra tài khoản Khách lẻ chung 3 đơn và K1 1 đơn cho Frequency 2.00</t>
  </si>
  <si>
    <t>1. Theo SETUP-01: đăng nhập U-SM12
2. Theo SETUP-02 (ST1 ngày D+2: O10, O11, O12 của K7; O13 của K1)</t>
  </si>
  <si>
    <t>Kỳ: D+2 – D+2; Store: ST1</t>
  </si>
  <si>
    <t>1. Mở menu Dashboard, vào màn hình Dashboard Doanh thu &amp; Đơn hàng
2. Nhập Từ ngày D+2, Đến ngày D+2 trên lịch chọn khoảng
3. Mở bộ chọn Store, chỉ chọn ST1</t>
  </si>
  <si>
    <t>3. Transactions = 4; Total Customers = 2; Frequency = 2.00</t>
  </si>
  <si>
    <t>AC-SPM-004-03</t>
  </si>
  <si>
    <t>TC-FREQ-003</t>
  </si>
  <si>
    <t>Kiểm tra khách chỉ có đơn trả trong kỳ không vào mẫu số Frequency</t>
  </si>
  <si>
    <t>1. Theo SETUP-01: đăng nhập U-CRM
2. Theo SETUP-02 (ST3 ngày D+2: OC6 của K12; RC1 trả 1 sp OC1 của K10)</t>
  </si>
  <si>
    <t>Kỳ: D+2 – D+2; Store: ST3</t>
  </si>
  <si>
    <t>1. Mở menu Dashboard, vào màn hình Dashboard Doanh thu &amp; Đơn hàng
2. Nhập Từ ngày D+2, Đến ngày D+2 trên lịch chọn khoảng
3. Mở bộ chọn Store, chỉ chọn ST3</t>
  </si>
  <si>
    <t>3. Total Customers = 1 (chỉ K12); Frequency = 1.00 [Giả định AS-06]</t>
  </si>
  <si>
    <t>[Giả định AS-06] AC-SPM-004-05</t>
  </si>
  <si>
    <t>Needs Clarification (AS-06)</t>
  </si>
  <si>
    <t>TC-FREQ-004</t>
  </si>
  <si>
    <t>FR-SPM-004;FR-SPM-008</t>
  </si>
  <si>
    <t>Kiểm tra mẫu số Frequency và Avg Spending bằng Total Customers của dashboard Khách hàng</t>
  </si>
  <si>
    <t>Kỳ: 01/09/2026 – 30/09/2026; phạm vi toàn Tam Sơn</t>
  </si>
  <si>
    <t>1. Mở menu Dashboard, vào màn hình Dashboard Doanh thu &amp; Đơn hàng
2. Nhập Từ ngày 01/09/2026, Đến ngày 30/09/2026 trên lịch chọn khoảng, ghi Total Customers
3. Mở dashboard Cấu trúc &amp; Sức khỏe Khách hàng (tab Customer), cùng kỳ và phạm vi, ghi Total Customers</t>
  </si>
  <si>
    <t>2. Hai giá trị Total Customers bằng nhau; Frequency = Transactions ÷ giá trị đó (2 chữ số lẻ)</t>
  </si>
  <si>
    <t>AC-SPM-008-03, BR-SPM-013</t>
  </si>
  <si>
    <t>TC-FREQ-005</t>
  </si>
  <si>
    <t>Kiểm tra khách chỉ có đơn 0đ được tính 1 transaction trong Frequency</t>
  </si>
  <si>
    <t>1. Theo SETUP-01: đăng nhập U-SM12
2. Theo SETUP-02 (ST2 ngày D+3: OB5 0đ của K11; OB6 của K8)</t>
  </si>
  <si>
    <t>3. Total Customers = 2; Frequency = 1.00 (2 ÷ 2) [Giả định AS-01]</t>
  </si>
  <si>
    <t>[Giả định AS-01] BR-SPM-012</t>
  </si>
  <si>
    <t>TC-CPN-001</t>
  </si>
  <si>
    <t>06. Coupon %</t>
  </si>
  <si>
    <t>FR-SPM-005</t>
  </si>
  <si>
    <t>Kiểm tra Coupon % ST1 ngày D = 40.0% (đơn 3 mã đếm 1, giảm giá không mã không tính)</t>
  </si>
  <si>
    <t>1. Theo SETUP-01: đăng nhập U-SM12
2. Theo SETUP-02 (O2 dùng 3 mã coupon; O6 1 mã; O3 giảm giá chương trình không mã)</t>
  </si>
  <si>
    <t>3. Coupon % = 40.0% (2 đơn O2, O6 ÷ 5); không phải 80.0% (đếm theo lượt mã) hay 60.0% (tính cả O3)</t>
  </si>
  <si>
    <t>AC-SPM-005-01, 02, 04</t>
  </si>
  <si>
    <t>TC-CPN-002</t>
  </si>
  <si>
    <t>Kiểm tra đơn giảm 100% bằng coupon được tính cả tử số và mẫu số Coupon %</t>
  </si>
  <si>
    <t>1. Theo SETUP-01: đăng nhập U-SM12
2. Theo SETUP-02 (ST2 ngày D+3: OB5 0đ coupon 100%; OB6 không coupon)</t>
  </si>
  <si>
    <t>3. Coupon % = 50.0% (1 ÷ 2) [Giả định AS-01]</t>
  </si>
  <si>
    <t>[Giả định AS-01] AC-SPM-005-03</t>
  </si>
  <si>
    <t>TC-CPN-003</t>
  </si>
  <si>
    <t>Kiểm tra đơn có coupon bị trả toàn bộ vẫn nằm trong tử số và mẫu số</t>
  </si>
  <si>
    <t>1. Theo SETUP-01: đăng nhập U-SM12
2. Theo SETUP-02 (ST2 ngày D: OB2 có coupon, trả toàn bộ RB2; OB1 không coupon)</t>
  </si>
  <si>
    <t>3. Coupon % = 50.0% (1 ÷ 2)</t>
  </si>
  <si>
    <t>AC-SPM-005-06</t>
  </si>
  <si>
    <t>TC-AOV-001</t>
  </si>
  <si>
    <t>07. AOV</t>
  </si>
  <si>
    <t>FR-SPM-006</t>
  </si>
  <si>
    <t>Kiểm tra AOV sau thuế ST1 ngày D = 42 600 000 ÷ 5 = 8 520 000 (gồm đơn khách lẻ)</t>
  </si>
  <si>
    <t>3. AOV = 8 520 000, nhãn Sau thuế</t>
  </si>
  <si>
    <t>AC-SPM-006-01, 04</t>
  </si>
  <si>
    <t>TC-AOV-002</t>
  </si>
  <si>
    <t>Kiểm tra AOV trước thuế = Sales trước thuế ÷ 5 và không lớn hơn AOV sau thuế</t>
  </si>
  <si>
    <t>1. Theo SETUP-01: đăng nhập U-SM12
2. Theo SETUP-02
3. Theo SETUP-08: tax_total các đơn ST1 ngày D</t>
  </si>
  <si>
    <t>1. Mở menu Dashboard, vào màn hình Dashboard Doanh thu &amp; Đơn hàng
2. Nhập Từ ngày D, Đến ngày D trên lịch chọn khoảng
3. Mở bộ chọn Store, chỉ chọn ST1
4. Bấm "Trước thuế"</t>
  </si>
  <si>
    <t>4. AOV = Sales trước thuế ÷ 5 (làm tròn half-up, 0 số lẻ), nhãn Trước thuế; ≤ 8 520 000; Transactions vẫn = 5</t>
  </si>
  <si>
    <t>AC-SPM-006-06, 07</t>
  </si>
  <si>
    <t>TC-AOV-003</t>
  </si>
  <si>
    <t>Kiểm tra đơn trả của đơn kỳ trước kéo AOV về 0</t>
  </si>
  <si>
    <t>1. Theo SETUP-01: đăng nhập U-SM12
2. Theo SETUP-02 (ST2 ngày D+1: OB3 4 000 000; RB3 trả toàn bộ OB1 4 000 000 bán ngày D)</t>
  </si>
  <si>
    <t>Kỳ: D+1 – D+1; Store: ST2</t>
  </si>
  <si>
    <t>1. Mở menu Dashboard, vào màn hình Dashboard Doanh thu &amp; Đơn hàng
2. Nhập Từ ngày D+1, Đến ngày D+1 trên lịch chọn khoảng
3. Mở bộ chọn Store, chỉ chọn ST2</t>
  </si>
  <si>
    <t>3. Sales = 0; Transactions = 1; AOV = 0</t>
  </si>
  <si>
    <t>AC-SPM-006-02</t>
  </si>
  <si>
    <t>TC-AOV-004</t>
  </si>
  <si>
    <t>Kiểm tra kỳ chỉ có đơn trả hiển thị AOV là —</t>
  </si>
  <si>
    <t>Kỳ: D+1 – D+1; Store: ST1 (chỉ R2, R3)</t>
  </si>
  <si>
    <t>1. Mở menu Dashboard, vào màn hình Dashboard Doanh thu &amp; Đơn hàng
2. Nhập Từ ngày D+1, Đến ngày D+1 trên lịch chọn khoảng
3. Mở bộ chọn Store, chỉ chọn ST1
4. Xem AOV ở Sau thuế rồi Trước thuế</t>
  </si>
  <si>
    <t>3. Transactions = 0; AOV hiển thị —
4. AOV vẫn hiển thị — ở Trước thuế</t>
  </si>
  <si>
    <t>AC-SPM-006-03, AC-SPM-009-10</t>
  </si>
  <si>
    <t>TC-AOV-005</t>
  </si>
  <si>
    <t>Kiểm tra đối soát AOV × Transactions = Sales ở cả hai cách nhìn trên dữ liệu thật</t>
  </si>
  <si>
    <t>1. Mở menu Dashboard, vào màn hình Dashboard Doanh thu &amp; Đơn hàng
2. Bấm "Tháng trước", ghi Sales, AOV, Transactions
3. Bấm "Trước thuế", ghi Sales, AOV, Transactions</t>
  </si>
  <si>
    <t>2. |AOV × Transactions − Sales| ≤ Transactions × 0,5 (sai số làm tròn hiển thị)
3. Điều kiện trên cũng đúng ở Trước thuế; Transactions bằng bước 2</t>
  </si>
  <si>
    <t>Yes</t>
  </si>
  <si>
    <t>AC-SPM-006-05, BR-SPM-009</t>
  </si>
  <si>
    <t>TC-AOV-006</t>
  </si>
  <si>
    <t>Kiểm tra AOV âm −3 000 000 khi Sales âm và có 1 transaction</t>
  </si>
  <si>
    <t>1. Theo SETUP-01: đăng nhập U-SM12
2. Theo SETUP-02 (ST2 ngày D+2: OB4 1 000 000; RB4 trả toàn bộ OB3 4 000 000)</t>
  </si>
  <si>
    <t>Kỳ: D+2 – D+2; Store: ST2</t>
  </si>
  <si>
    <t>1. Mở menu Dashboard, vào màn hình Dashboard Doanh thu &amp; Đơn hàng
2. Nhập Từ ngày D+2, Đến ngày D+2 trên lịch chọn khoảng
3. Mở bộ chọn Store, chỉ chọn ST2</t>
  </si>
  <si>
    <t>3. Sales = −3 000 000; AOV = −3 000 000 có dấu −, màu Error</t>
  </si>
  <si>
    <t>TC-AOV-007</t>
  </si>
  <si>
    <t>Kiểm tra đơn 0đ kéo AOV xuống còn 1 000 000</t>
  </si>
  <si>
    <t>3. AOV = 1 000 000 (2 000 000 ÷ 2) [Giả định AS-01]</t>
  </si>
  <si>
    <t>[Giả định AS-01] BR-SPM-006</t>
  </si>
  <si>
    <t>TC-UPT-001</t>
  </si>
  <si>
    <t>08. UPT</t>
  </si>
  <si>
    <t>FR-SPM-007</t>
  </si>
  <si>
    <t>Kiểm tra UPT ST1 ngày D = 9 ÷ 5 = 1.80 (trừ sản phẩm trả, không cộng dòng giảm giá)</t>
  </si>
  <si>
    <t>Kỳ: D – D; Store: ST1; bán 10 sp; R1 trả 1 sp</t>
  </si>
  <si>
    <t>3. UPT = 1.80; không phải 2.00 (không trừ trả) hay 2.00 trở lên (cộng dòng giảm giá của O3)</t>
  </si>
  <si>
    <t>AC-SPM-007-01, 03, 07</t>
  </si>
  <si>
    <t>TC-UPT-002</t>
  </si>
  <si>
    <t>Kiểm tra dòng phí ship không được cộng vào số lượng UPT</t>
  </si>
  <si>
    <t>1. Theo SETUP-01: đăng nhập U-CRM
2. Theo SETUP-02 (ST3 ngày D: OC1 6 sp; OC2 4 sp + 1 dòng phí ship productparent_id 1051644)</t>
  </si>
  <si>
    <t>3. UPT = 5.00 (10 ÷ 2); không phải 5.50</t>
  </si>
  <si>
    <t>AC-SPM-007-06</t>
  </si>
  <si>
    <t>TC-UPT-003</t>
  </si>
  <si>
    <t>Kiểm tra dòng dịch vụ khắc tên không được cộng vào số lượng UPT</t>
  </si>
  <si>
    <t>1. Theo SETUP-01: đăng nhập U-CRM
2. Theo SETUP-02 (ST3 ngày D+1: OC3 3 sp + dòng dịch vụ khắc tên số lượng 2; OC4 1 sp; OC5 1 sp)</t>
  </si>
  <si>
    <t>Kỳ: D+1 – D+1; Store: ST3</t>
  </si>
  <si>
    <t>1. Mở menu Dashboard, vào màn hình Dashboard Doanh thu &amp; Đơn hàng
2. Nhập Từ ngày D+1, Đến ngày D+1 trên lịch chọn khoảng
3. Mở bộ chọn Store, chỉ chọn ST3</t>
  </si>
  <si>
    <t>3. UPT = 1.67 (5 ÷ 3); không phải 2.33 [Cần xác nhận Q-17]</t>
  </si>
  <si>
    <t>[Cần xác nhận Q-17] AC-SPM-007-02, BR-SPM-011</t>
  </si>
  <si>
    <t>Needs Clarification (Q-17)</t>
  </si>
  <si>
    <t>TC-UPT-004</t>
  </si>
  <si>
    <t>Kiểm tra đơn 0đ góp số lượng vào tử và +1 vào mẫu số UPT</t>
  </si>
  <si>
    <t>1. Theo SETUP-01: đăng nhập U-SM12
2. Theo SETUP-02 (ST2 ngày D+3: OB5 0đ 1 sp; OB6 3 sp)</t>
  </si>
  <si>
    <t>3. UPT = 2.00 (4 ÷ 2) [Giả định AS-01]</t>
  </si>
  <si>
    <t>[Giả định AS-01] AC-SPM-007-05</t>
  </si>
  <si>
    <t>TC-UPT-005</t>
  </si>
  <si>
    <t>Kiểm tra UPT âm −2.00 khi số lượng trả lớn hơn số lượng bán</t>
  </si>
  <si>
    <t>1. Theo SETUP-01: đăng nhập U-SM12
2. Theo SETUP-02 (ST2 ngày D+2: OB4 1 sp; RB4 trả 3 sp của OB3)</t>
  </si>
  <si>
    <t>3. UPT = −2.00 có dấu −</t>
  </si>
  <si>
    <t>FR-SPM-009: UPT âm giữ dấu −</t>
  </si>
  <si>
    <t>TC-AVGS-001</t>
  </si>
  <si>
    <t>09. Avg Spending/Customer</t>
  </si>
  <si>
    <t>FR-SPM-008</t>
  </si>
  <si>
    <t>Kiểm tra Avg Spending sau thuế ST1 ngày D = 42 600 000 ÷ 4 = 10 650 000</t>
  </si>
  <si>
    <t>3. Avg Spending/Customer = 10 650 000, nhãn Sau thuế; Total Customers = 4 (gồm K7 Khách lẻ)</t>
  </si>
  <si>
    <t>AC-SPM-008-01, 02</t>
  </si>
  <si>
    <t>TC-AVGS-002</t>
  </si>
  <si>
    <t>Kiểm tra Avg Spending trước thuế = Sales trước thuế ÷ 4</t>
  </si>
  <si>
    <t>4. Avg Spending/Customer = Sales trước thuế ÷ 4 (half-up, 0 số lẻ), nhãn Trước thuế</t>
  </si>
  <si>
    <t>AC-SPM-008-09</t>
  </si>
  <si>
    <t>TC-AVGS-003</t>
  </si>
  <si>
    <t>Kiểm tra khách trả toàn bộ đơn trong kỳ vẫn ở mẫu số Avg Spending</t>
  </si>
  <si>
    <t>1. Theo SETUP-01: đăng nhập U-SM12
2. Theo SETUP-02 (ST2 ngày D: K1 mua OB1; K9 mua OB2 rồi trả toàn bộ)</t>
  </si>
  <si>
    <t>3. Total Customers = 2; Avg Spending = 2 000 000 (4 000 000 ÷ 2)</t>
  </si>
  <si>
    <t>AC-SPM-008-04</t>
  </si>
  <si>
    <t>TC-AVGS-004</t>
  </si>
  <si>
    <t>Kiểm tra khách chỉ có đơn trả không vào mẫu số nhưng khoản hoàn vẫn trừ tử số</t>
  </si>
  <si>
    <t>1. Theo SETUP-01: đăng nhập U-CRM
2. Theo SETUP-02 (ST3 ngày D+2: OC6 2 000 000 của K12; RC1 K10 trả 2 500 000)</t>
  </si>
  <si>
    <t>3. Sales = −500 000; Total Customers = 1; Avg Spending = −500 000 [Giả định AS-06]</t>
  </si>
  <si>
    <t>[Giả định AS-06] AC-SPM-008-05</t>
  </si>
  <si>
    <t>TC-AVGS-005</t>
  </si>
  <si>
    <t>Kiểm tra khách chỉ có đơn 0đ vẫn ở mẫu số Avg Spending</t>
  </si>
  <si>
    <t>1. Theo SETUP-01: đăng nhập U-SM12
2. Theo SETUP-02 (ST2 ngày D+3: K11 chỉ có OB5 0đ; K8 có OB6 2 000 000)</t>
  </si>
  <si>
    <t>3. Total Customers = 2; Avg Spending = 1 000 000</t>
  </si>
  <si>
    <t>AC-SPM-008-06 (Total Customers không lọc theo giá trị đơn)</t>
  </si>
  <si>
    <t>TC-AVGS-006</t>
  </si>
  <si>
    <t>Kiểm tra cấp gộp ST1 + ST2 đếm khách K1 mua ở cả 2 store một lần</t>
  </si>
  <si>
    <t>Kỳ: D – D; Store: ST1 + ST2</t>
  </si>
  <si>
    <t>1. Mở menu Dashboard, vào màn hình Dashboard Doanh thu &amp; Đơn hàng
2. Nhập Từ ngày D, Đến ngày D trên lịch chọn khoảng
3. Mở bộ chọn Store, chọn ST1 và ST2</t>
  </si>
  <si>
    <t>3. Total Customers = 5 (không phải 6); Frequency = 1.40; Avg Spending = 9 320 000 (46 600 000 ÷ 5)</t>
  </si>
  <si>
    <t>AC-SPM-008-08, FR-CSD-002</t>
  </si>
  <si>
    <t>TC-AVGS-007</t>
  </si>
  <si>
    <t>Kiểm tra đối soát Avg Spending = Frequency × AOV trên dữ liệu thật</t>
  </si>
  <si>
    <t>1. Mở menu Dashboard, vào màn hình Dashboard Doanh thu &amp; Đơn hàng
2. Bấm "Tháng trước"; ghi Sales, Transactions, Total Customers, Frequency, AOV, Avg Spending</t>
  </si>
  <si>
    <t>2. Sales ÷ Total Customers ≈ (Transactions ÷ Total Customers) × (Sales ÷ Transactions); Avg Spending hiển thị bằng Sales ÷ Total Customers làm tròn half-up</t>
  </si>
  <si>
    <t>BR-CSD-004</t>
  </si>
  <si>
    <t>TC-DISP-001</t>
  </si>
  <si>
    <t>10. Định dạng &amp; nhãn hiển thị</t>
  </si>
  <si>
    <t>FR-SPM-009;FR-SPM-003;FR-SPM-004;FR-SPM-005;FR-SPM-007;FR-SPM-008</t>
  </si>
  <si>
    <t>Kiểm tra kỳ không có đơn: tỷ lệ hiển thị —, Transactions/Sales/Total Customers hiển thị 0 ở cả hai cách nhìn</t>
  </si>
  <si>
    <t>1. Theo SETUP-01: đăng nhập U-SM12
2. Theo SETUP-02 (ST1 không có đơn ngày D−3, D−2)</t>
  </si>
  <si>
    <t>Kỳ: D−3 – D−2; Store: ST1</t>
  </si>
  <si>
    <t>1. Mở menu Dashboard, vào màn hình Dashboard Doanh thu &amp; Đơn hàng
2. Nhập Từ ngày D−3, Đến ngày D−2 trên lịch chọn khoảng
3. Mở bộ chọn Store, chỉ chọn ST1
4. Bấm "Trước thuế"</t>
  </si>
  <si>
    <t>3. Sales = 0; Transactions = 0; Total Customers = 0; Coupon %, AOV, UPT, Frequency, Avg Spending hiển thị — (không phải 0 hay 0%)
4. AOV và Avg Spending vẫn hiển thị —; Sales = 0</t>
  </si>
  <si>
    <t>AC-SPM-003-04, 004-04, 005-05, 007-04, 008-07, 009-01, 009-10</t>
  </si>
  <si>
    <t>TC-DISP-002</t>
  </si>
  <si>
    <t>Kiểm tra UPT và Frequency hiển thị 2 chữ số thập phân, dấu chấm thập phân</t>
  </si>
  <si>
    <t>3. UPT hiển thị 1.80 (không phải 1.8); Frequency hiển thị 1.25</t>
  </si>
  <si>
    <t>AC-SPM-009-02</t>
  </si>
  <si>
    <t>TC-DISP-003</t>
  </si>
  <si>
    <t>Kiểm tra Coupon % gốc 66.666…% hiển thị 66.7% (1 chữ số, half-up)</t>
  </si>
  <si>
    <t>1. Theo SETUP-01: đăng nhập U-CRM
2. Theo SETUP-02 (ST3 ngày D+1: 3 đơn, 2 đơn có coupon)</t>
  </si>
  <si>
    <t>3. Coupon % hiển thị 66.7%</t>
  </si>
  <si>
    <t>AC-SPM-009-03</t>
  </si>
  <si>
    <t>TC-DISP-004</t>
  </si>
  <si>
    <t>Kiểm tra số tiền tách nghìn bằng khoảng trắng: AOV 8 520 000</t>
  </si>
  <si>
    <t>1. Mở menu Dashboard, vào màn hình Dashboard Doanh thu &amp; Đơn hàng
2. Nhập Từ ngày D, Đến ngày D trên lịch chọn khoảng
3. Mở bộ chọn Store, chỉ chọn ST1
4. Xem thẻ AOV, Sales, Avg Spending và dòng ST1 trong bảng</t>
  </si>
  <si>
    <t>4. Hiển thị 8 520 000, 42 600 000, 10 650 000 (khoảng trắng tách nghìn, không dấu phẩy/chấm, 0 số lẻ) ở thẻ và bảng</t>
  </si>
  <si>
    <t>AC-SPM-009-04; mockup đang không tách nghìn [Cần xác nhận Q-04]</t>
  </si>
  <si>
    <t>Needs Clarification (Q-04)</t>
  </si>
  <si>
    <t>TC-DISP-005</t>
  </si>
  <si>
    <t>Kiểm tra giá trị 950 hiển thị không tách nhóm nghìn</t>
  </si>
  <si>
    <t>P4</t>
  </si>
  <si>
    <t>1. Theo SETUP-01: đăng nhập U-SM12
2. Theo SETUP-03: ngày E tại ST2 chỉ có 1 đơn CO total 950</t>
  </si>
  <si>
    <t>3. Sales hiển thị 950; AOV hiển thị 950</t>
  </si>
  <si>
    <t>AC-SPM-009-06</t>
  </si>
  <si>
    <t>TC-DISP-006</t>
  </si>
  <si>
    <t>Kiểm tra giá trị gốc có phần lẻ ,5 được làm tròn half-up ở bước hiển thị</t>
  </si>
  <si>
    <t>1. Theo SETUP-01: đăng nhập U-SM12
2. Theo SETUP-03: ngày E tại ST2 có 2 đơn CO total 1 250 000 và 1 250 001</t>
  </si>
  <si>
    <t>3. Sales = 2 500 001; AOV = 1 250 001 (gốc 1 250 000.5, half-up)</t>
  </si>
  <si>
    <t>TC-DISP-007</t>
  </si>
  <si>
    <t>FR-SPM-009;REQ-UI-02</t>
  </si>
  <si>
    <t>Kiểm tra mọi số tiền ở thẻ, bảng, biểu đồ có nhãn Sau thuế/Trước thuế theo bộ chuyển</t>
  </si>
  <si>
    <t>1. Mở menu Dashboard, vào màn hình Dashboard Doanh thu &amp; Đơn hàng
2. Xem thẻ Sales, AOV, Avg Spending, tiêu đề cột Sales/AOV/Avg Spending của bảng, nhãn panel biểu đồ
3. Bấm "Trước thuế", xem lại các vị trí trên</t>
  </si>
  <si>
    <t>1. Mọi vị trí số tiền ghi "Sau thuế"
2. Mọi vị trí số tiền đổi sang "Trước thuế"; không có số tiền nào thiếu nhãn</t>
  </si>
  <si>
    <t>AC-SPM-009-07</t>
  </si>
  <si>
    <t>TC-DISP-008</t>
  </si>
  <si>
    <t>Kiểm tra thẻ KPI tiền hiển thị số đầy đủ không viết tắt khi giá trị hàng trăm tỷ</t>
  </si>
  <si>
    <t>Kỳ: Năm này</t>
  </si>
  <si>
    <t>1. Mở menu Dashboard, vào màn hình Dashboard Doanh thu &amp; Đơn hàng
2. Bấm "Năm này", xem số chính thẻ Sales</t>
  </si>
  <si>
    <t>2. Số chính hiển thị đủ mọi chữ số (dạng 301 852 754 000), không dạng Tỷ/Tr/K</t>
  </si>
  <si>
    <t>TC-DISP-009</t>
  </si>
  <si>
    <t>Kiểm tra thẻ KPI tiền có dòng phụ ghi giá trị cách nhìn thuế còn lại</t>
  </si>
  <si>
    <t>1. Theo SETUP-01: đăng nhập U-SM12
2. Theo SETUP-02
3. Theo SETUP-08: Sales trước thuế ST1 ngày D đã tính</t>
  </si>
  <si>
    <t>1. Mở menu Dashboard, vào màn hình Dashboard Doanh thu &amp; Đơn hàng
2. Nhập Từ ngày D, Đến ngày D trên lịch chọn khoảng
3. Mở bộ chọn Store, chỉ chọn ST1
4. Xem dòng phụ thẻ Sales ở Sau thuế
5. Bấm "Trước thuế", xem dòng phụ thẻ Sales</t>
  </si>
  <si>
    <t>4. Dòng phụ ghi giá trị Trước thuế bằng giá trị tính từ SETUP-08
5. Dòng phụ ghi giá trị Sau thuế = 42 600 000</t>
  </si>
  <si>
    <t>TC-DISP-010</t>
  </si>
  <si>
    <t>Kiểm tra đổi Sau thuế/Trước thuế không làm đổi Transactions, Frequency, Coupon %, UPT</t>
  </si>
  <si>
    <t>1. Mở menu Dashboard, vào màn hình Dashboard Doanh thu &amp; Đơn hàng
2. Bấm "Tháng trước", ghi Transactions, Total Customers, Frequency, Coupon %, UPT
3. Bấm "Trước thuế"</t>
  </si>
  <si>
    <t>3. Transactions, Total Customers, Frequency, Coupon %, UPT giữ nguyên giá trị bước 2; chỉ Sales, AOV, Avg Spending thay đổi</t>
  </si>
  <si>
    <t>AC-SPM-009-08</t>
  </si>
  <si>
    <t>TC-DISP-011</t>
  </si>
  <si>
    <t>Kiểm tra mỗi thẻ KPI có icon i hiển thị giải thích công thức</t>
  </si>
  <si>
    <t>1. Mở menu Dashboard, vào màn hình Dashboard Doanh thu &amp; Đơn hàng
2. Rê chuột lần lượt vào icon i của 8 thẻ KPI</t>
  </si>
  <si>
    <t>2. Cả 8 thẻ có icon i; mỗi icon hiện tooltip mô tả công thức của chỉ số (ví dụ AOV: Sales ÷ Transactions)</t>
  </si>
  <si>
    <t>TC-DISP-012</t>
  </si>
  <si>
    <t>Kiểm tra nhãn giải thích bắt buộc trên thẻ Sales, Transactions, Frequency, Avg Spending</t>
  </si>
  <si>
    <t>1. Mở menu Dashboard, vào màn hình Dashboard Doanh thu &amp; Đơn hàng
2. Đọc dòng mô tả và tooltip icon i của thẻ Sales, Transactions, Frequency, Avg Spending/Customer</t>
  </si>
  <si>
    <t>2. Sales có nội dung "Đã trừ hàng trả hoàn tất trong kỳ" và nêu có/không gồm phí ship [Cần xác nhận Q-15]
- Transactions có nội dung "Số đơn bán hoàn tất, không trừ đơn trả; gồm đơn 0đ" [Cần xác nhận Q-01]
- Frequency có nội dung "Số đơn trung bình/khách mua trong kỳ, gồm khách lẻ"
- Avg Spending/Customer ghi rõ đơn vị đếm là khách có mua trong kỳ, gồm khách lẻ</t>
  </si>
  <si>
    <t>[Cần xác nhận Q-01] [Cần xác nhận Q-15]</t>
  </si>
  <si>
    <t>Needs Clarification (Q-01, Q-15)</t>
  </si>
  <si>
    <t>TC-DISP-013</t>
  </si>
  <si>
    <t>REQ-UI-04</t>
  </si>
  <si>
    <t>Kiểm tra bố cục 2 nhóm KPI, mỗi nhóm 4 thẻ đúng tên</t>
  </si>
  <si>
    <t>1. Nhóm Doanh thu và giao dịch: SALES, TRANSACTIONS, TOTAL CUSTOMERS, COUPON %
- Nhóm Chỉ số bình quân: AOV, UPT, FREQUENCY, AVG SPENDING / CUSTOMER</t>
  </si>
  <si>
    <t>TC-ALERT-001</t>
  </si>
  <si>
    <t>11. Cảnh báo động</t>
  </si>
  <si>
    <t>REQ-UI-03</t>
  </si>
  <si>
    <t>Kiểm tra cảnh báo Cross-period hiển thị khi kỳ có đơn trả của đơn bán kỳ trước</t>
  </si>
  <si>
    <t>1. Theo SETUP-01: đăng nhập U-SM12
2. Theo SETUP-02 (ST1 ngày D+1: R2 trả đơn O0 ngày D−1; R3 trả đơn O2 ngày D)</t>
  </si>
  <si>
    <t>3. Hiển thị khung cảnh báo nền xanh phía trên KPI: có 2 đơn trả của đơn bán kỳ trước đã trừ vào Sales kỳ này, nêu Sales/AOV/UPT có thể thấp hoặc âm, Transactions không bị trừ</t>
  </si>
  <si>
    <t>Mockup image3; nội dung nguyên văn [Cần xác nhận Q-23]</t>
  </si>
  <si>
    <t>Needs Clarification (Q-23)</t>
  </si>
  <si>
    <t>TC-ALERT-002</t>
  </si>
  <si>
    <t>Kiểm tra cảnh báo Cross-period biến mất khi đổi sang kỳ không có đơn trả của đơn kỳ trước</t>
  </si>
  <si>
    <t>1. Theo SETUP-01: đăng nhập U-SM12
2. Theo SETUP-02 (ST1 ngày D chỉ có R1 trả đơn O3 cùng ngày)</t>
  </si>
  <si>
    <t>Store: ST1; Kỳ 1: D+1 – D+1; Kỳ 2: D – D</t>
  </si>
  <si>
    <t>1. Mở menu Dashboard, vào màn hình Dashboard Doanh thu &amp; Đơn hàng
2. Mở bộ chọn Store, chỉ chọn ST1
3. Nhập Từ ngày D+1, Đến ngày D+1 trên lịch chọn khoảng
4. Nhập Từ ngày D, Đến ngày D trên lịch chọn khoảng</t>
  </si>
  <si>
    <t>3. Có khung cảnh báo Cross-period
4. Không còn khung cảnh báo Cross-period (R1 cùng kỳ với đơn bán) [Giả định AS-07]</t>
  </si>
  <si>
    <t>[Giả định AS-07]</t>
  </si>
  <si>
    <t>Needs Clarification (AS-07)</t>
  </si>
  <si>
    <t>TC-ALERT-003</t>
  </si>
  <si>
    <t>Kiểm tra cảnh báo đơn VAT = 0 hiển thị khi xem Trước thuế</t>
  </si>
  <si>
    <t>1. Theo SETUP-01: đăng nhập U-SM12
2. Theo SETUP-03: ngày E tại ST2 có 1 đơn CO tax_total 0, total 3 836 000</t>
  </si>
  <si>
    <t>4. Hiển thị cảnh báo có đơn VAT = 0 trong kỳ (trước thuế bằng sau thuế cho đơn đó) [Cần xác nhận Q-23]</t>
  </si>
  <si>
    <t>[Cần xác nhận Q-23] nội dung</t>
  </si>
  <si>
    <t>Blocked (SETUP-03, Q-23)</t>
  </si>
  <si>
    <t>TC-ALERT-004</t>
  </si>
  <si>
    <t>Kiểm tra cảnh báo đơn VAT = 0 không hiển thị khi xem Sau thuế</t>
  </si>
  <si>
    <t>1. Mở menu Dashboard, vào màn hình Dashboard Doanh thu &amp; Đơn hàng
2. Nhập Từ ngày E, Đến ngày E trên lịch chọn khoảng
3. Mở bộ chọn Store, chỉ chọn ST2
4. Bấm "Sau thuế"</t>
  </si>
  <si>
    <t>4. Không có cảnh báo VAT = 0</t>
  </si>
  <si>
    <t>PRD khối 2: cảnh báo VAT = 0 khi xem trước thuế</t>
  </si>
  <si>
    <t>TC-ALERT-005</t>
  </si>
  <si>
    <t>Kiểm tra số đơn trả cross-period trong cảnh báo tính theo tập store đang chọn</t>
  </si>
  <si>
    <t>1. Theo SETUP-01: đăng nhập U-SM12
2. Theo SETUP-02 (ngày D+1: ST1 có R2, R3; ST2 có RB3 trả đơn OB1 ngày D)</t>
  </si>
  <si>
    <t>Kỳ: D+1 – D+1</t>
  </si>
  <si>
    <t>1. Mở menu Dashboard, vào màn hình Dashboard Doanh thu &amp; Đơn hàng
2. Nhập Từ ngày D+1, Đến ngày D+1 trên lịch chọn khoảng
3. Mở bộ chọn Store, chỉ chọn ST1
4. Chọn lại ST1 + ST2</t>
  </si>
  <si>
    <t>3. Cảnh báo nêu 2 đơn trả của đơn bán kỳ trước
4. Cảnh báo nêu 3 đơn trả của đơn bán kỳ trước [Cần xác nhận Q-23]</t>
  </si>
  <si>
    <t>IX-31; [Cần xác nhận Q-23] nội dung</t>
  </si>
  <si>
    <t>TC-CHART-001</t>
  </si>
  <si>
    <t>12. Biểu đồ Sales theo thời gian</t>
  </si>
  <si>
    <t>FR-SPM-010</t>
  </si>
  <si>
    <t>Kiểm tra Tháng này: tự chọn Ngày, cột hôm nay sọc chéo viền nét đứt, nhãn Tự chọn theo độ dài kỳ</t>
  </si>
  <si>
    <t>1. Theo SETUP-01: đăng nhập U-CRM
2. Theo SETUP-07: môi trường có dữ liệu ~100 store
3. Hôm nay không phải ngày 01</t>
  </si>
  <si>
    <t>1. Mở menu Dashboard, vào màn hình Dashboard Doanh thu &amp; Đơn hàng
2. Bấm "Tháng này"
3. Quan sát biểu đồ Sales theo thời gian</t>
  </si>
  <si>
    <t>3. Nút Ngày active; nhãn "Tự chọn theo độ dài kỳ"; số cột = số ngày từ 01 đến hôm nay
- Cột hôm nay sọc chéo + viền nét đứt; các cột trước đặc (Đủ kỳ); nút Tháng bị khoá</t>
  </si>
  <si>
    <t>AC-SPM-010-01</t>
  </si>
  <si>
    <t>TC-CHART-002</t>
  </si>
  <si>
    <t>Kiểm tra kỳ 01/09–30/09/2026 đơn vị Ngày: 30 cột Đủ kỳ, nền xám Thứ Bảy/Chủ Nhật, nhãn dd/mm</t>
  </si>
  <si>
    <t>1. Mở menu Dashboard, vào màn hình Dashboard Doanh thu &amp; Đơn hàng
2. Nhập Từ ngày 01/09/2026, Đến ngày 30/09/2026 trên lịch chọn khoảng</t>
  </si>
  <si>
    <t>2. Tự chọn Ngày, 30 cột 01/09…30/09, tất cả cột đặc (không cột Chưa kết thúc, không cột xám Bị cắt)
- Dải xám nhạt sau các cột 05–06, 12–13, 19–20, 26–27/09; nhãn trục X dạng dd/mm
- Ngày và Tuần bấm được; Tháng bị khoá</t>
  </si>
  <si>
    <t>Ví dụ nguồn: Tháng trước 01/09–30/09</t>
  </si>
  <si>
    <t>TC-CHART-003</t>
  </si>
  <si>
    <t>Kiểm tra kỳ 01/09–30/09/2026 bấm Tuần: 5 cột, tuần đầu và tuần cuối xám Bị cắt</t>
  </si>
  <si>
    <t>1. Mở menu Dashboard, vào màn hình Dashboard Doanh thu &amp; Đơn hàng
2. Nhập Từ ngày 01/09/2026, Đến ngày 30/09/2026 trên lịch chọn khoảng
3. Bấm nút Tuần</t>
  </si>
  <si>
    <t>3. 5 cột: 31/08–06/09 xám, 07/09–13/09, 14/09–20/09, 21/09–27/09 đặc, 28/09–04/10 xám
- Nhãn trục dạng dd/mm–dd/mm; không có dải nền Thứ Bảy/Chủ Nhật
- Nút Tuần active; nhãn "Đã chọn tay"</t>
  </si>
  <si>
    <t>Bucket Tuần Thứ Hai–Chủ Nhật</t>
  </si>
  <si>
    <t>TC-CHART-004</t>
  </si>
  <si>
    <t>Kiểm tra kỳ 11/10–12/10/2026 (CN–T2) đơn vị Tuần: 2 cột đều xám, không có cột Chưa kết thúc</t>
  </si>
  <si>
    <t>1. Theo SETUP-01: đăng nhập U-CRM
2. Theo SETUP-07: môi trường có dữ liệu ~100 store
3. Hôm nay ≥ 13/10/2026</t>
  </si>
  <si>
    <t>Kỳ: 11/10/2026 – 12/10/2026</t>
  </si>
  <si>
    <t>1. Mở menu Dashboard, vào màn hình Dashboard Doanh thu &amp; Đơn hàng
2. Nhập Từ ngày 11/10/2026, Đến ngày 12/10/2026 trên lịch chọn khoảng
3. Bấm nút Tuần</t>
  </si>
  <si>
    <t>2. Tự chọn Ngày, 2 cột đặc; Tuần bấm được (kỳ chạm 2 tuần lịch)
3. 2 cột 05/10–11/10 và 12/10–18/10 đều xám Bị cắt; không cột sọc chéo dù tuần 12/10–18/10 có thể chứa hôm nay [Giả định AS-03]</t>
  </si>
  <si>
    <t>[Giả định AS-03] Ví dụ nguồn 11/10–12/10</t>
  </si>
  <si>
    <t>Needs Clarification (AS-03)</t>
  </si>
  <si>
    <t>TC-CHART-005</t>
  </si>
  <si>
    <t>Kiểm tra kỳ 74 ngày kết thúc hôm nay: tự chọn Tuần, tuần cuối sọc, tuần đầu xám, Ngày bị khoá</t>
  </si>
  <si>
    <t>1. Theo SETUP-01: đăng nhập U-CRM
2. Theo SETUP-07: môi trường có dữ liệu ~100 store
3. Ngày bắt đầu (hôm nay − 73 ngày) không phải Thứ Hai, hôm nay không phải Chủ Nhật</t>
  </si>
  <si>
    <t>Từ ngày: hôm nay − 73; Đến ngày: hôm nay</t>
  </si>
  <si>
    <t>1. Mở menu Dashboard, vào màn hình Dashboard Doanh thu &amp; Đơn hàng
2. Nhập Từ ngày hôm nay − 73 ngày, Đến ngày hôm nay trên lịch chọn khoảng</t>
  </si>
  <si>
    <t>2. Nút Tuần active, nhãn "Tự chọn theo độ dài kỳ"; nhãn trục chỉ dd/mm của Thứ Hai (&gt; 10 cột)
- Cột tuần đầu xám (Bị cắt); cột tuần chứa hôm nay sọc chéo (vừa bị cắt vừa chưa kết thúc → Chưa kết thúc); các tuần giữa đặc
- Nút Ngày bị khoá (74 &gt; 62 ngày) [Giả định AS-02]</t>
  </si>
  <si>
    <t>[Giả định AS-02] AC-SPM-010-02</t>
  </si>
  <si>
    <t>Needs Clarification (AS-02)</t>
  </si>
  <si>
    <t>TC-CHART-006</t>
  </si>
  <si>
    <t>Kiểm tra Năm này: tự chọn Tháng, cột tháng hiện tại sọc, Ngày bị khoá</t>
  </si>
  <si>
    <t>1. Mở menu Dashboard, vào màn hình Dashboard Doanh thu &amp; Đơn hàng
2. Bấm "Năm này"</t>
  </si>
  <si>
    <t>2. Nút Tháng active; số cột = số tháng từ T1 đến tháng hiện tại, nhãn Tn (không /yy)
- Cột tháng hiện tại sọc chéo; Ngày bị khoá kèm tooltip "Không khả dụng với kỳ đang chọn"</t>
  </si>
  <si>
    <t>AC-SPM-010-03</t>
  </si>
  <si>
    <t>TC-CHART-007</t>
  </si>
  <si>
    <t>Kiểm tra kỳ Hôm nay không vẽ biểu đồ, hiện thông báo và khoá cả 3 đơn vị</t>
  </si>
  <si>
    <t>Kỳ: Hôm nay (1 ngày)</t>
  </si>
  <si>
    <t>1. Mở menu Dashboard, vào màn hình Dashboard Doanh thu &amp; Đơn hàng
2. Bấm "Hôm nay"</t>
  </si>
  <si>
    <t>2. Không vẽ cột; hiện khung thông báo "Kỳ 1 ngày chưa đủ để vẽ biểu đồ theo thời gian. Chọn kỳ từ 2 ngày trở lên (Tuần này, Tháng này...) để xem xu hướng."
- Nút Ngày, Tuần, Tháng đều bị khoá</t>
  </si>
  <si>
    <t>AC-SPM-010-05</t>
  </si>
  <si>
    <t>TC-CHART-008</t>
  </si>
  <si>
    <t>Kiểm tra đã chọn tay Ngày ở kỳ 30 ngày rồi đổi sang Năm này thì tự quay về Tháng</t>
  </si>
  <si>
    <t>Kỳ 1: 01/09/2026 – 30/09/2026; Kỳ 2: Năm này</t>
  </si>
  <si>
    <t>1. Mở menu Dashboard, vào màn hình Dashboard Doanh thu &amp; Đơn hàng
2. Nhập Từ ngày 01/09/2026, Đến ngày 30/09/2026 trên lịch chọn khoảng
3. Bấm nút Ngày
4. Bấm "Năm này"</t>
  </si>
  <si>
    <t>3. Nhãn "Đã chọn tay"
4. Đơn vị chuyển sang Tháng; nhãn "Tự chọn theo độ dài kỳ"; Ngày bị khoá</t>
  </si>
  <si>
    <t>AC-SPM-010-06</t>
  </si>
  <si>
    <t>TC-CHART-009</t>
  </si>
  <si>
    <t>Kiểm tra đã chọn tay Tuần rồi đổi kỳ mà Tuần vẫn khả dụng thì giữ Tuần</t>
  </si>
  <si>
    <t>Kỳ 1: 01/09/2026 – 30/09/2026; Kỳ 2: 01/07/2026 – 31/08/2026</t>
  </si>
  <si>
    <t>1. Mở menu Dashboard, vào màn hình Dashboard Doanh thu &amp; Đơn hàng
2. Nhập Từ ngày 01/09/2026, Đến ngày 30/09/2026 trên lịch chọn khoảng
3. Bấm nút Tuần
4. Nhập Từ ngày 01/07/2026, Đến ngày 31/08/2026 trên lịch chọn khoảng</t>
  </si>
  <si>
    <t>4. Vẫn vẽ theo Tuần (10 cột), nút Tuần active, nhãn "Đã chọn tay"</t>
  </si>
  <si>
    <t>TC-CHART-010</t>
  </si>
  <si>
    <t>Kiểm tra chọn tay Tuần, đổi sang Hôm nay rồi sang Tháng này thì không nhớ lựa chọn tay</t>
  </si>
  <si>
    <t>1. Theo SETUP-01: đăng nhập U-CRM
2. Theo SETUP-07: môi trường có dữ liệu ~100 store
3. Hôm nay ≥ ngày 08 của tháng (Tháng này chạm ≥ 2 tuần)</t>
  </si>
  <si>
    <t>Kỳ: 01/09–30/09/2026 → Hôm nay → Tháng này</t>
  </si>
  <si>
    <t>1. Mở menu Dashboard, vào màn hình Dashboard Doanh thu &amp; Đơn hàng
2. Nhập Từ ngày 01/09/2026, Đến ngày 30/09/2026 trên lịch chọn khoảng
3. Bấm nút Tuần
4. Bấm "Hôm nay"
5. Bấm "Tháng này"</t>
  </si>
  <si>
    <t>4. Không vẽ biểu đồ, 3 nút khoá
5. Đơn vị là Ngày (tự chọn), nhãn "Tự chọn theo độ dài kỳ"; không quay lại Tuần</t>
  </si>
  <si>
    <t>TC-CHART-011</t>
  </si>
  <si>
    <t>Kiểm tra bấm đơn vị bị khoá không đổi biểu đồ và hiện tooltip Không khả dụng</t>
  </si>
  <si>
    <t>1. Mở menu Dashboard, vào màn hình Dashboard Doanh thu &amp; Đơn hàng
2. Nhập Từ ngày 01/09/2026, Đến ngày 30/09/2026 trên lịch chọn khoảng
3. Rê chuột lên nút Tháng
4. Bấm nút Tháng</t>
  </si>
  <si>
    <t>2. Nút Tháng vẫn hiển thị (không bị ẩn), trạng thái disabled
3. Tooltip "Không khả dụng với kỳ đang chọn"
4. Biểu đồ giữ nguyên đơn vị Ngày, 30 cột</t>
  </si>
  <si>
    <t>TC-CHART-012</t>
  </si>
  <si>
    <t>Kiểm tra đổi thuế: giá trị cột đổi, đơn vị và trạng thái cột giữ nguyên</t>
  </si>
  <si>
    <t>1. Mở menu Dashboard, vào màn hình Dashboard Doanh thu &amp; Đơn hàng
2. Bấm "Tháng này", bấm nút Tuần, rê chuột vào cột đầu ghi Sales
3. Bấm "Trước thuế", rê chuột lại cột đầu</t>
  </si>
  <si>
    <t>3. Sales trong tooltip đổi sang giá trị trước thuế (nhỏ hơn hoặc bằng); vẫn đơn vị Tuần, nhãn "Đã chọn tay"; cột đầu/cột cuối giữ trạng thái xám/sọc như bước 2
- Nhãn panel ghi Trước thuế</t>
  </si>
  <si>
    <t>AC-SPM-010-09</t>
  </si>
  <si>
    <t>TC-CHART-013</t>
  </si>
  <si>
    <t>Kiểm tra kỳ 31 ngày (01/07–31/07/2026) tự chọn Ngày</t>
  </si>
  <si>
    <t>Từ ngày: 01/07/2026; Đến ngày: 31/07/2026 (31 ngày)</t>
  </si>
  <si>
    <t>1. Mở menu Dashboard, vào màn hình Dashboard Doanh thu &amp; Đơn hàng
2. Nhập Từ ngày 01/07/2026, Đến ngày 31/07/2026 trên lịch chọn khoảng</t>
  </si>
  <si>
    <t>2. Nút Ngày active, 31 cột, nhãn "Tự chọn theo độ dài kỳ"</t>
  </si>
  <si>
    <t>TC-CHART-014</t>
  </si>
  <si>
    <t>Kiểm tra kỳ 32 ngày (01/07–01/08/2026) tự chọn Tuần và Ngày vẫn bấm được</t>
  </si>
  <si>
    <t>Từ ngày: 01/07/2026; Đến ngày: 01/08/2026 (32 ngày)</t>
  </si>
  <si>
    <t>1. Mở menu Dashboard, vào màn hình Dashboard Doanh thu &amp; Đơn hàng
2. Nhập Từ ngày 01/07/2026, Đến ngày 01/08/2026 trên lịch chọn khoảng</t>
  </si>
  <si>
    <t>2. Nút Tuần active, 5 cột, nhãn "Tự chọn theo độ dài kỳ"
- Nút Ngày bấm được [Giả định AS-02]</t>
  </si>
  <si>
    <t>[Giả định AS-02] theo PRD (2→31) thì Ngày bị khoá</t>
  </si>
  <si>
    <t>TC-CHART-015</t>
  </si>
  <si>
    <t>Kiểm tra kỳ 120 ngày (01/05–28/08/2026) tự chọn Tuần</t>
  </si>
  <si>
    <t>Từ ngày: 01/05/2026; Đến ngày: 28/08/2026 (120 ngày)</t>
  </si>
  <si>
    <t>1. Mở menu Dashboard, vào màn hình Dashboard Doanh thu &amp; Đơn hàng
2. Nhập Từ ngày 01/05/2026, Đến ngày 28/08/2026 trên lịch chọn khoảng</t>
  </si>
  <si>
    <t>2. Nút Tuần active, 18 cột</t>
  </si>
  <si>
    <t>TC-CHART-016</t>
  </si>
  <si>
    <t>Kiểm tra kỳ 121 ngày (01/05–29/08/2026) tự chọn Tháng</t>
  </si>
  <si>
    <t>Từ ngày: 01/05/2026; Đến ngày: 29/08/2026 (121 ngày)</t>
  </si>
  <si>
    <t>1. Mở menu Dashboard, vào màn hình Dashboard Doanh thu &amp; Đơn hàng
2. Nhập Từ ngày 01/05/2026, Đến ngày 29/08/2026 trên lịch chọn khoảng</t>
  </si>
  <si>
    <t>2. Nút Tháng active, 4 cột T5…T8; T8 xám (Bị cắt, kết thúc 29/08)</t>
  </si>
  <si>
    <t>TC-CHART-017</t>
  </si>
  <si>
    <t>Kiểm tra kỳ 62 ngày (01/07–31/08/2026) đơn vị Ngày bấm được và vẽ 62 cột</t>
  </si>
  <si>
    <t>Từ ngày: 01/07/2026; Đến ngày: 31/08/2026 (62 ngày)</t>
  </si>
  <si>
    <t>1. Mở menu Dashboard, vào màn hình Dashboard Doanh thu &amp; Đơn hàng
2. Nhập Từ ngày 01/07/2026, Đến ngày 31/08/2026 trên lịch chọn khoảng
3. Bấm nút Ngày</t>
  </si>
  <si>
    <t>3. Vẽ 62 cột theo ngày, nhãn "Đã chọn tay" [Giả định AS-02]</t>
  </si>
  <si>
    <t>[Giả định AS-02] số cột tối đa 62</t>
  </si>
  <si>
    <t>TC-CHART-018</t>
  </si>
  <si>
    <t>Kiểm tra kỳ 63 ngày (01/07–01/09/2026) đơn vị Ngày bị khoá</t>
  </si>
  <si>
    <t>Từ ngày: 01/07/2026; Đến ngày: 01/09/2026 (63 ngày)</t>
  </si>
  <si>
    <t>1. Mở menu Dashboard, vào màn hình Dashboard Doanh thu &amp; Đơn hàng
2. Nhập Từ ngày 01/07/2026, Đến ngày 01/09/2026 trên lịch chọn khoảng</t>
  </si>
  <si>
    <t>2. Nút Ngày bị khoá kèm tooltip "Không khả dụng với kỳ đang chọn"; tự chọn Tuần</t>
  </si>
  <si>
    <t>Cả hai phương án ngưỡng Ngày (2–31, 2–62) đều khoá ở 63 ngày</t>
  </si>
  <si>
    <t>TC-CHART-019</t>
  </si>
  <si>
    <t>Kiểm tra kỳ 07/07–08/07/2026 (1 tuần lịch, 1 tháng lịch): Tuần và Tháng bị khoá</t>
  </si>
  <si>
    <t>Từ ngày: 07/07/2026 (T3); Đến ngày: 08/07/2026 (T4)</t>
  </si>
  <si>
    <t>1. Mở menu Dashboard, vào màn hình Dashboard Doanh thu &amp; Đơn hàng
2. Nhập Từ ngày 07/07/2026, Đến ngày 08/07/2026 trên lịch chọn khoảng</t>
  </si>
  <si>
    <t>2. Tự chọn Ngày, 2 cột; Tuần và Tháng bị khoá</t>
  </si>
  <si>
    <t>TC-CHART-020</t>
  </si>
  <si>
    <t>Kiểm tra kỳ 366 ngày 06/01/2025–06/01/2026 chạm 53 tuần: Tuần bấm được</t>
  </si>
  <si>
    <t>Từ ngày: 06/01/2025 (T2); Đến ngày: 06/01/2026 (T3)</t>
  </si>
  <si>
    <t>1. Mở menu Dashboard, vào màn hình Dashboard Doanh thu &amp; Đơn hàng
2. Nhập Từ ngày 06/01/2025, Đến ngày 06/01/2026 trên lịch chọn khoảng
3. Bấm nút Tuần</t>
  </si>
  <si>
    <t>3. Vẽ 53 cột tuần; nhãn trục dd/mm Thứ Hai, ẩn xen kẽ khi dày</t>
  </si>
  <si>
    <t>TC-CHART-021</t>
  </si>
  <si>
    <t>Kiểm tra kỳ 366 ngày 05/01/2025–05/01/2026 chạm 54 tuần: Tuần bị khoá</t>
  </si>
  <si>
    <t>Từ ngày: 05/01/2025 (CN); Đến ngày: 05/01/2026 (T2)</t>
  </si>
  <si>
    <t>1. Mở menu Dashboard, vào màn hình Dashboard Doanh thu &amp; Đơn hàng
2. Nhập Từ ngày 05/01/2025, Đến ngày 05/01/2026 trên lịch chọn khoảng</t>
  </si>
  <si>
    <t>2. Nút Tuần bị khoá; tự chọn Tháng, 13 cột</t>
  </si>
  <si>
    <t>TC-CHART-022</t>
  </si>
  <si>
    <t>Kiểm tra kỳ 31/07–01/08/2026 (2 ngày, 2 tháng lịch): Tháng bấm được, Tuần khoá</t>
  </si>
  <si>
    <t>Từ ngày: 31/07/2026 (T6); Đến ngày: 01/08/2026 (T7)</t>
  </si>
  <si>
    <t>1. Mở menu Dashboard, vào màn hình Dashboard Doanh thu &amp; Đơn hàng
2. Nhập Từ ngày 31/07/2026, Đến ngày 01/08/2026 trên lịch chọn khoảng
3. Bấm nút Tháng</t>
  </si>
  <si>
    <t>2. Tự chọn Ngày, 2 cột; Tuần bị khoá; Tháng bấm được
3. 2 cột T7, T8 đều xám (Bị cắt)</t>
  </si>
  <si>
    <t>TC-CHART-023</t>
  </si>
  <si>
    <t>Kiểm tra kỳ 15/09/2025–14/09/2026: Tháng 13 cột, nhãn Tn/yy, cột đầu và cuối Bị cắt</t>
  </si>
  <si>
    <t>Từ ngày: 15/09/2025; Đến ngày: 14/09/2026 (365 ngày)</t>
  </si>
  <si>
    <t>1. Mở menu Dashboard, vào màn hình Dashboard Doanh thu &amp; Đơn hàng
2. Nhập Từ ngày 15/09/2025, Đến ngày 14/09/2026 trên lịch chọn khoảng</t>
  </si>
  <si>
    <t>2. Tự chọn Tháng, 13 cột nhãn T9/25, T10/25 … T9/26 (có /yy vì vắt 2 năm)
- Cột T9/25 và T9/26 xám; 11 cột giữa đặc</t>
  </si>
  <si>
    <t>TC-CHART-024</t>
  </si>
  <si>
    <t>Kiểm tra Tuần 10 cột (06/07–13/09/2026) nhãn trục dạng dd/mm–dd/mm</t>
  </si>
  <si>
    <t>Từ ngày: 06/07/2026 (T2); Đến ngày: 13/09/2026 (CN) — 70 ngày</t>
  </si>
  <si>
    <t>1. Mở menu Dashboard, vào màn hình Dashboard Doanh thu &amp; Đơn hàng
2. Nhập Từ ngày 06/07/2026, Đến ngày 13/09/2026 trên lịch chọn khoảng</t>
  </si>
  <si>
    <t>2. Tự chọn Tuần, 10 cột; nhãn dạng 06/07–12/07 … 07/09–13/09; tất cả cột đặc</t>
  </si>
  <si>
    <t>TC-CHART-025</t>
  </si>
  <si>
    <t>Kiểm tra Tuần 11 cột (06/07–14/09/2026) nhãn trục chỉ dd/mm của Thứ Hai</t>
  </si>
  <si>
    <t>Từ ngày: 06/07/2026; Đến ngày: 14/09/2026 — 71 ngày</t>
  </si>
  <si>
    <t>1. Mở menu Dashboard, vào màn hình Dashboard Doanh thu &amp; Đơn hàng
2. Nhập Từ ngày 06/07/2026, Đến ngày 14/09/2026 trên lịch chọn khoảng</t>
  </si>
  <si>
    <t>2. Tự chọn Tuần, 11 cột; nhãn chỉ 06/07, 13/07 … 14/09; cột cuối 14/09–20/09 xám</t>
  </si>
  <si>
    <t>TC-CHART-026</t>
  </si>
  <si>
    <t>Kiểm tra 16 cột (01/09–16/09/2026) có nhãn giá trị trên cột cao nhất</t>
  </si>
  <si>
    <t>Từ ngày: 01/09/2026; Đến ngày: 16/09/2026</t>
  </si>
  <si>
    <t>1. Mở menu Dashboard, vào màn hình Dashboard Doanh thu &amp; Đơn hàng
2. Nhập Từ ngày 01/09/2026, Đến ngày 16/09/2026 trên lịch chọn khoảng</t>
  </si>
  <si>
    <t>2. Cột cao nhất có viền vàng và có nhãn giá trị phía trên (định dạng nhãn: Q-44, không kiểm)</t>
  </si>
  <si>
    <t>Needs Clarification (Q-44)</t>
  </si>
  <si>
    <t>TC-CHART-027</t>
  </si>
  <si>
    <t>Kiểm tra 17 cột (01/09–17/09/2026) không có nhãn giá trị trên cột cao nhất</t>
  </si>
  <si>
    <t>Từ ngày: 01/09/2026; Đến ngày: 17/09/2026</t>
  </si>
  <si>
    <t>1. Mở menu Dashboard, vào màn hình Dashboard Doanh thu &amp; Đơn hàng
2. Nhập Từ ngày 01/09/2026, Đến ngày 17/09/2026 trên lịch chọn khoảng</t>
  </si>
  <si>
    <t>2. Cột cao nhất vẫn có viền vàng nhưng không có nhãn giá trị phía trên</t>
  </si>
  <si>
    <t>TC-CHART-028</t>
  </si>
  <si>
    <t>Kiểm tra cột Sales cao nhất của kỳ có viền vàng</t>
  </si>
  <si>
    <t>1. Mở menu Dashboard, vào màn hình Dashboard Doanh thu &amp; Đơn hàng
2. Nhập Từ ngày 01/09/2026, Đến ngày 30/09/2026 trên lịch chọn khoảng
3. Rê chuột qua các cột, tìm cột có Sales lớn nhất trong tooltip</t>
  </si>
  <si>
    <t>3. Đúng 1 cột có viền vàng 2px nét liền và đó là cột có Sales lớn nhất</t>
  </si>
  <si>
    <t>TC-CHART-029</t>
  </si>
  <si>
    <t>Kiểm tra hai cột cao nhất bằng nhau thì viền vàng ở cột đầu tiên</t>
  </si>
  <si>
    <t>1. Theo SETUP-01: đăng nhập U-SM12
2. Theo SETUP-03: ST2 ngày E1 và E2 (liền nhau) mỗi ngày 1 đơn CO total 7 000 000</t>
  </si>
  <si>
    <t>Kỳ: E1 – E2; Store: ST2</t>
  </si>
  <si>
    <t>1. Mở menu Dashboard, vào màn hình Dashboard Doanh thu &amp; Đơn hàng
2. Nhập Từ ngày E1, Đến ngày E2 trên lịch chọn khoảng
3. Mở bộ chọn Store, chỉ chọn ST2</t>
  </si>
  <si>
    <t>3. 2 cột bằng nhau; chỉ cột E1 có viền vàng</t>
  </si>
  <si>
    <t>TC-CHART-030</t>
  </si>
  <si>
    <t>Kiểm tra mọi cột bằng 0: không vẽ thân cột, không viền vàng</t>
  </si>
  <si>
    <t>1. Mở menu Dashboard, vào màn hình Dashboard Doanh thu &amp; Đơn hàng
2. Nhập Từ ngày D−3, Đến ngày D−2 trên lịch chọn khoảng
3. Mở bộ chọn Store, chỉ chọn ST1</t>
  </si>
  <si>
    <t>3. 2 vị trí cột không có thân cột; không cột nào có viền vàng; trục Y có mốc 0</t>
  </si>
  <si>
    <t>TC-CHART-031</t>
  </si>
  <si>
    <t>Kiểm tra cột khác 0 rất nhỏ vẫn cao tối thiểu 1px</t>
  </si>
  <si>
    <t>1. Theo SETUP-01: đăng nhập U-SM12
2. Theo SETUP-03: ST2 ngày E1 đơn total 100, ngày E2 đơn total 40 000 000</t>
  </si>
  <si>
    <t>1. Mở menu Dashboard, vào màn hình Dashboard Doanh thu &amp; Đơn hàng
2. Nhập Từ ngày E1, Đến ngày E2 trên lịch chọn khoảng
3. Mở bộ chọn Store, chỉ chọn ST2
4. Phóng to vùng cột E1 (DevTools → Inspect phần tử cột)</t>
  </si>
  <si>
    <t>4. Cột E1 có chiều cao ≥ 1px</t>
  </si>
  <si>
    <t>TC-CHART-032</t>
  </si>
  <si>
    <t>Kiểm tra cột âm tô màu Error, mọc xuống dưới 0 và trục Y mở xuống âm</t>
  </si>
  <si>
    <t>Kỳ: D−1 – D+2; Store: ST1</t>
  </si>
  <si>
    <t>1. Mở menu Dashboard, vào màn hình Dashboard Doanh thu &amp; Đơn hàng
2. Nhập Từ ngày D−1, Đến ngày D+2 trên lịch chọn khoảng
3. Mở bộ chọn Store, chỉ chọn ST1</t>
  </si>
  <si>
    <t>3. Cột D+1 (−6 600 000) màu Error, thân mọc xuống dưới đường 0; trục Y có mốc 0 và mốc âm</t>
  </si>
  <si>
    <t>AC-SPM-010-08</t>
  </si>
  <si>
    <t>TC-CHART-033</t>
  </si>
  <si>
    <t>Kiểm tra trục Y thang Tr: mốc 0, mốc âm, khoảng chia đẹp, nhãn N Tr</t>
  </si>
  <si>
    <t>Kỳ: D−1 – D+2; Store: ST1 (giá trị từ −6 600 000 đến 42 600 000)</t>
  </si>
  <si>
    <t>3. Nhãn trục Y dạng N Tr; có mốc 0 và mốc âm; bước chia là bội 1/2/2.5/5 × 10ⁿ (ví dụ bước 20 Tr: −20 Tr, 0, 20 Tr, 40 Tr, 60 Tr); số khoảng chia 4–5 [Cần xác nhận Q-39]</t>
  </si>
  <si>
    <t>[Cần xác nhận Q-39] PRD 4–5 khoảng chia / BR-SPM-018 khoảng 4 mốc</t>
  </si>
  <si>
    <t>Needs Clarification (Q-39)</t>
  </si>
  <si>
    <t>TC-CHART-034</t>
  </si>
  <si>
    <t>Kiểm tra trục Y thang Tỷ: mốc 0, nhãn N Tỷ không lẻ khi ≥ 10 tỷ</t>
  </si>
  <si>
    <t>Kỳ: 01/09/2026 – 30/09/2026 (giá trị ngày cỡ chục tỷ)</t>
  </si>
  <si>
    <t>2. Nhãn trục Y dạng N Tỷ, mốc ≥ 10 tỷ không có phần lẻ, có mốc 0, bước là bội 1/2/2.5/5 × 10ⁿ [Cần xác nhận Q-39]; tooltip và thẻ KPI vẫn hiển thị số đầy đủ</t>
  </si>
  <si>
    <t>[Cần xác nhận Q-39] số khoảng chia</t>
  </si>
  <si>
    <t>TC-CHART-035</t>
  </si>
  <si>
    <t>Kiểm tra trục Y khi giá trị dưới 1 triệu hiển thị số đầy đủ</t>
  </si>
  <si>
    <t>1. Theo SETUP-01: đăng nhập U-SM12
2. Theo SETUP-03: ST2 ngày E1, E2 mỗi ngày 1 đơn total 300 000 và 800 000</t>
  </si>
  <si>
    <t>3. Nhãn trục Y là số đầy đủ (ví dụ 0, 200 000, 400 000 …), không dạng Tr</t>
  </si>
  <si>
    <t>TC-CHART-036</t>
  </si>
  <si>
    <t>Kiểm tra ưu tiên màu: cột âm + Chưa kết thúc hiển thị sọc chéo</t>
  </si>
  <si>
    <t>1. Theo SETUP-01: đăng nhập U-CRM
2. Theo SETUP-12: ST3 hôm nay chỉ có đơn trả RC-T 2 500 000</t>
  </si>
  <si>
    <t>Kỳ: hôm qua – hôm nay; Store: ST3</t>
  </si>
  <si>
    <t>1. Mở menu Dashboard, vào màn hình Dashboard Doanh thu &amp; Đơn hàng
2. Nhập Từ ngày hôm qua, Đến ngày hôm nay trên lịch chọn khoảng
3. Mở bộ chọn Store, chỉ chọn ST3</t>
  </si>
  <si>
    <t>3. Cột hôm nay (−2 500 000) sọc chéo + viền nét đứt (không tô đỏ đặc), mọc xuống dưới 0</t>
  </si>
  <si>
    <t>TC-CHART-037</t>
  </si>
  <si>
    <t>Kiểm tra ưu tiên màu Tuần: cột âm bị cắt tô đỏ, cột dương bị cắt tô xám</t>
  </si>
  <si>
    <t>1. Theo SETUP-01: đăng nhập U-SM12
2. Theo SETUP-02 (D+1 là Chủ Nhật, D+2 là Thứ Hai)</t>
  </si>
  <si>
    <t>Kỳ: D+1 – D+2; Store: ST1; hôm nay ≥ D+9 (tuần chứa D+2 đã qua)</t>
  </si>
  <si>
    <t>1. Mở menu Dashboard, vào màn hình Dashboard Doanh thu &amp; Đơn hàng
2. Nhập Từ ngày D+1, Đến ngày D+2 trên lịch chọn khoảng
3. Mở bộ chọn Store, chỉ chọn ST1
4. Bấm nút Tuần</t>
  </si>
  <si>
    <t>4. 2 cột: tuần chứa D+1 (−6 600 000) màu Error; tuần chứa D+2 (5 000 000) màu xám Bị cắt</t>
  </si>
  <si>
    <t>TC-CHART-038</t>
  </si>
  <si>
    <t>Kiểm tra cột cao nhất đang chạy: sọc chéo và viền vàng nét liền đè viền nét đứt</t>
  </si>
  <si>
    <t>1. Theo SETUP-01: đăng nhập U-SM12
2. Theo SETUP-02
3. Theo SETUP-12: ST2 hôm nay có OB7 50 000 000 (OB7 của lần chạy trước đã huỷ)</t>
  </si>
  <si>
    <t>Kỳ: D – hôm nay; Store: ST2</t>
  </si>
  <si>
    <t>1. Mở menu Dashboard, vào màn hình Dashboard Doanh thu &amp; Đơn hàng
2. Nhập Từ ngày D, Đến ngày hôm nay trên lịch chọn khoảng
3. Mở bộ chọn Store, chỉ chọn ST2</t>
  </si>
  <si>
    <t>3. Cột hôm nay là cột cao nhất: nền sọc chéo, viền vàng nét liền (không nét đứt)</t>
  </si>
  <si>
    <t>TC-CHART-039</t>
  </si>
  <si>
    <t>Kiểm tra chú giải và dòng ghi chú ở đơn vị Ngày cho kỳ đã khép</t>
  </si>
  <si>
    <t>1. Mở menu Dashboard, vào màn hình Dashboard Doanh thu &amp; Đơn hàng
2. Nhập Từ ngày 01/09/2026, Đến ngày 30/09/2026 trên lịch chọn khoảng
3. Đọc chú giải và dòng ghi chú dưới biểu đồ</t>
  </si>
  <si>
    <t>3. Chú giải có "Đủ kỳ", "Cao nhất", "Nền xám nhạt: Thứ Bảy, Chủ Nhật"; không có Chưa kết thúc, không có Bị cắt theo kỳ lọc
- Ghi chú nêu Sales ròng đã trừ hàng trả theo ngày hoàn tất đơn trả, cách nhìn thuế đang chọn, cột đỏ = hoàn trả nhiều hơn bán, trục Y chỉ rút gọn; không nêu quy ước tuần</t>
  </si>
  <si>
    <t>TC-CHART-040</t>
  </si>
  <si>
    <t>Kiểm tra chú giải và ghi chú ở đơn vị Tuần có cột Bị cắt và Chưa kết thúc</t>
  </si>
  <si>
    <t>1. Theo SETUP-01: đăng nhập U-CRM
2. Theo SETUP-07: môi trường có dữ liệu ~100 store
3. Hôm nay không phải Chủ Nhật</t>
  </si>
  <si>
    <t>Kỳ: Tháng này, đơn vị Tuần (ngày 01 không phải Thứ Hai)</t>
  </si>
  <si>
    <t>1. Mở menu Dashboard, vào màn hình Dashboard Doanh thu &amp; Đơn hàng
2. Bấm "Tháng này", bấm nút Tuần
3. Đọc chú giải và dòng ghi chú</t>
  </si>
  <si>
    <t>3. Chú giải có "Đủ kỳ", "Cao nhất", "Chưa kết thúc — số có thể còn tăng", "Bị cắt theo kỳ lọc"; không có Nền xám nhạt
- Ghi chú có thêm quy ước tuần Thứ Hai – Chủ Nhật</t>
  </si>
  <si>
    <t>TC-CHART-041</t>
  </si>
  <si>
    <t>Kiểm tra nhãn trục X dày được ẩn xen kẽ, không xoay, chữ ≥ 11px, cột ẩn nhãn vẫn có tooltip</t>
  </si>
  <si>
    <t>1. Theo SETUP-01: đăng nhập U-CRM
2. Theo SETUP-07: môi trường có dữ liệu ~100 store
3. Theo SETUP-09: cửa sổ trình duyệt rộng 800px</t>
  </si>
  <si>
    <t>Kỳ: 01/07/2026 – 31/07/2026 (31 cột)</t>
  </si>
  <si>
    <t>1. Mở menu Dashboard, vào màn hình Dashboard Doanh thu &amp; Đơn hàng
2. Nhập Từ ngày 01/07/2026, Đến ngày 31/07/2026 trên lịch chọn khoảng
3. Quan sát nhãn trục X
4. Rê chuột vào 1 cột không có nhãn</t>
  </si>
  <si>
    <t>3. Nhãn 01/07 luôn hiện; các nhãn sau cách đều, một số bị ẩn; chữ nằm ngang; cỡ chữ ≥ 11px (Inspect)
4. Tooltip của cột đó vẫn hiện đủ</t>
  </si>
  <si>
    <t>TC-CHART-042</t>
  </si>
  <si>
    <t>Kiểm tra đổi kích thước cửa sổ thì biểu đồ vẽ lại theo chiều rộng thật, chữ không co nhỏ</t>
  </si>
  <si>
    <t>1. Theo SETUP-01: đăng nhập U-CRM
2. Theo SETUP-07: môi trường có dữ liệu ~100 store
3. Theo SETUP-09</t>
  </si>
  <si>
    <t>Kỳ: Tháng trước; rộng 1440px → 1000px</t>
  </si>
  <si>
    <t>1. Mở menu Dashboard, vào màn hình Dashboard Doanh thu &amp; Đơn hàng
2. Bấm "Tháng trước" ở cửa sổ 1440px, đo cỡ chữ nhãn trục
3. Thu cửa sổ về 1000px</t>
  </si>
  <si>
    <t>3. Biểu đồ vẽ lại vừa khung mới, không thanh cuộn ngang; cỡ chữ nhãn trục bằng bước 2 (≥ 11px), số nhãn hiển thị giảm theo bề rộng</t>
  </si>
  <si>
    <t>TC-CHART-043</t>
  </si>
  <si>
    <t>Kiểm tra tooltip cột Ngày: dd/mm/yyyy (Thứ), Sales đầy đủ, Transactions, Hoàn trả đã trừ</t>
  </si>
  <si>
    <t>1. Mở menu Dashboard, vào màn hình Dashboard Doanh thu &amp; Đơn hàng
2. Nhập Từ ngày D−1, Đến ngày D+2 trên lịch chọn khoảng
3. Mở bộ chọn Store, chỉ chọn ST1
4. Rê chuột vào cột ngày D</t>
  </si>
  <si>
    <t>4. Tooltip: ngày D dạng dd/mm/yyyy (Thứ Bảy); Sales 42 600 000 (Sau thuế); Transactions 5; Hoàn trả đã trừ 5 400 000; không có nhãn trạng thái</t>
  </si>
  <si>
    <t>TC-CHART-044</t>
  </si>
  <si>
    <t>Kiểm tra tooltip cột Tuần bị cắt hiển thị khoảng ngày đã cắt và nhãn Bị cắt theo kỳ lọc</t>
  </si>
  <si>
    <t>Kỳ: 01/09/2026 – 30/09/2026; đơn vị Tuần</t>
  </si>
  <si>
    <t>1. Mở menu Dashboard, vào màn hình Dashboard Doanh thu &amp; Đơn hàng
2. Nhập Từ ngày 01/09/2026, Đến ngày 30/09/2026 trên lịch chọn khoảng
3. Bấm nút Tuần, rê chuột vào cột đầu</t>
  </si>
  <si>
    <t>3. Khoảng thời gian 01/09/2026 – 06/09/2026 (không phải 31/08/2026); có nhãn "Bị cắt theo kỳ lọc"</t>
  </si>
  <si>
    <t>TC-CHART-045</t>
  </si>
  <si>
    <t>Kiểm tra tooltip cột Chưa kết thúc có nhãn Chưa kết thúc</t>
  </si>
  <si>
    <t>1. Mở menu Dashboard, vào màn hình Dashboard Doanh thu &amp; Đơn hàng
2. Bấm "Tháng này", rê chuột vào cột hôm nay</t>
  </si>
  <si>
    <t>2. Tooltip có khoảng ngày, Sales đầy đủ, Transactions, Hoàn trả đã trừ và nhãn "Chưa kết thúc · số có thể còn tăng"</t>
  </si>
  <si>
    <t>AC-SPM-010-10</t>
  </si>
  <si>
    <t>TC-CHART-046</t>
  </si>
  <si>
    <t>Kiểm tra tooltip bám con trỏ và tự lật sang trái khi sát mép phải</t>
  </si>
  <si>
    <t>1. Mở menu Dashboard, vào màn hình Dashboard Doanh thu &amp; Đơn hàng
2. Bấm "Tháng trước", rê chuột từ cột đầu sang cột cuối</t>
  </si>
  <si>
    <t>2. Tooltip di chuyển theo con trỏ; ở các cột sát mép phải tooltip hiện bên trái con trỏ, không bị cắt khỏi khung</t>
  </si>
  <si>
    <t>TC-CHART-047</t>
  </si>
  <si>
    <t>Kiểm tra tổng Sales và Transactions các cột Tuần bằng thẻ KPI của kỳ</t>
  </si>
  <si>
    <t>1. Mở menu Dashboard, vào màn hình Dashboard Doanh thu &amp; Đơn hàng
2. Nhập Từ ngày 01/09/2026, Đến ngày 30/09/2026 trên lịch chọn khoảng, ghi Sales và Transactions trên thẻ KPI
3. Bấm nút Tuần, ghi Sales và Transactions trong tooltip 5 cột</t>
  </si>
  <si>
    <t>2. Σ Sales 5 cột = Sales thẻ KPI; Σ Transactions 5 cột = Transactions thẻ KPI</t>
  </si>
  <si>
    <t>AC-SPM-010-04</t>
  </si>
  <si>
    <t>TC-CHART-048</t>
  </si>
  <si>
    <t>Kiểm tra đơn trả trừ vào cột ngày hoàn tất đơn trả, không vào cột ngày bán gốc</t>
  </si>
  <si>
    <t>Kỳ: D−1 – D+1; Store: ST1</t>
  </si>
  <si>
    <t>1. Mở menu Dashboard, vào màn hình Dashboard Doanh thu &amp; Đơn hàng
2. Nhập Từ ngày D−1, Đến ngày D+1 trên lịch chọn khoảng
3. Mở bộ chọn Store, chỉ chọn ST1
4. Rê chuột vào cột D−1 và cột D+1</t>
  </si>
  <si>
    <t>4. Cột D−1: Sales 3 200 000, Hoàn trả đã trừ 0; cột D+1: Sales −6 600 000, Hoàn trả đã trừ 6 600 000</t>
  </si>
  <si>
    <t>AC-SPM-010-07</t>
  </si>
  <si>
    <t>TC-CHART-049</t>
  </si>
  <si>
    <t>FR-SPM-010;FR-SPM-011</t>
  </si>
  <si>
    <t>Kiểm tra biểu đồ chỉ tính trên store và Client Advisor đang lọc</t>
  </si>
  <si>
    <t>Kỳ: D−1 – D+2; Store: ST1; Client Advisor: U-CA-A</t>
  </si>
  <si>
    <t>1. Mở menu Dashboard, vào màn hình Dashboard Doanh thu &amp; Đơn hàng
2. Nhập Từ ngày D−1, Đến ngày D+2 trên lịch chọn khoảng
3. Chọn ST1 + ST2, rê chuột cột D
4. Mở bộ chọn Store, chỉ chọn ST1, rê chuột cột D
5. Chọn Client Advisor U-CA-A, rê chuột cột D</t>
  </si>
  <si>
    <t>3. Cột D: Transactions 7
4. Cột D: Transactions 5
5. Cột D: Transactions 4</t>
  </si>
  <si>
    <t>TC-CHART-050</t>
  </si>
  <si>
    <t>Kiểm tra kỳ 32 ngày 01/07–01/08/2026 chạm 2 tháng lịch: Tháng bấm được, bấm tay vẽ T7 đặc và T8 xám</t>
  </si>
  <si>
    <t>Từ ngày: 01/07/2026; Đến ngày: 01/08/2026</t>
  </si>
  <si>
    <t>1. Mở menu Dashboard, vào màn hình Dashboard Doanh thu &amp; Đơn hàng
2. Nhập Từ ngày 01/07/2026, Đến ngày 01/08/2026 trên lịch chọn khoảng
3. Bấm nút Tháng</t>
  </si>
  <si>
    <t>2. Tự chọn Tuần (5 cột); nút Tháng bấm được [Cần xác nhận Q-38]
3. 2 cột: T7 đặc, T8 xám Bị cắt; nhãn "Đã chọn tay"</t>
  </si>
  <si>
    <t>Review R-06; [Cần xác nhận Q-38]</t>
  </si>
  <si>
    <t>Needs Clarification (Q-38)</t>
  </si>
  <si>
    <t>TC-CHART-051</t>
  </si>
  <si>
    <t>Kiểm tra Tuần khi kỳ kết thúc hôm qua và tuần cuối chứa hôm nay: cột cuối xám Bị cắt, không sọc chéo</t>
  </si>
  <si>
    <t>1. Theo SETUP-01: đăng nhập U-CRM
2. Theo SETUP-07: môi trường có dữ liệu ~100 store
3. Hôm nay không phải Thứ Hai</t>
  </si>
  <si>
    <t>Từ ngày: Chủ Nhật tuần trước; Đến ngày: hôm qua</t>
  </si>
  <si>
    <t>1. Mở menu Dashboard, vào màn hình Dashboard Doanh thu &amp; Đơn hàng
2. Nhập Từ ngày Chủ Nhật tuần trước, Đến ngày hôm qua trên lịch chọn khoảng
3. Bấm nút Tuần</t>
  </si>
  <si>
    <t>3. 2 cột: tuần trước (chỉ phủ Chủ Nhật) xám; tuần hiện tại (chứa hôm nay, kỳ dừng ở hôm qua) xám Bị cắt, không sọc chéo [Giả định AS-03]</t>
  </si>
  <si>
    <t>Review R-02, R-21 [Giả định AS-03]</t>
  </si>
  <si>
    <t>TC-STORE-001</t>
  </si>
  <si>
    <t>13. Bộ chọn Store &amp; lọc Client Advisor</t>
  </si>
  <si>
    <t>FR-SPM-011</t>
  </si>
  <si>
    <t>Kiểm tra CRM mặc định chọn toàn bộ store, nhãn Toàn Tam Sơn và lọc Client Advisor bị khoá</t>
  </si>
  <si>
    <t>1. Mở menu Dashboard, vào màn hình Dashboard Doanh thu &amp; Đơn hàng
2. Xem nhãn bộ chọn Store và bộ lọc Client Advisor</t>
  </si>
  <si>
    <t>2. Nhãn "Toàn Tam Sơn · 100 store" với số store thực tế của phạm vi; bộ đếm đã chọn = tổng
- Bộ lọc Client Advisor bị khoá, gợi ý "Chọn ≤ 5 store để lọc"</t>
  </si>
  <si>
    <t>AC-SPM-011-01, 05</t>
  </si>
  <si>
    <t>TC-STORE-002</t>
  </si>
  <si>
    <t>Kiểm tra Retail Manager Hermès chỉ có store Hermès và không thêm được store Brand khác</t>
  </si>
  <si>
    <t>1. Theo SETUP-01: đăng nhập U-RM-HER
2. Theo SETUP-07</t>
  </si>
  <si>
    <t>Từ khoá: Chopard</t>
  </si>
  <si>
    <t>1. Mở menu Dashboard, vào màn hình Dashboard Doanh thu &amp; Đơn hàng
2. Mở bộ chọn Store, xem danh sách
3. Gõ Chopard vào ô tìm kiếm</t>
  </si>
  <si>
    <t>2. Chỉ có các store Hermès (14 store trên môi trường SETUP-07), đã chọn tất cả
3. Không có kết quả</t>
  </si>
  <si>
    <t>AC-SPM-011-11</t>
  </si>
  <si>
    <t>TC-STORE-003</t>
  </si>
  <si>
    <t>Kiểm tra bấm chip Brand Hermès chỉ chọn store Hermès và KPI tính lại</t>
  </si>
  <si>
    <t>Chip: Hermès (14)</t>
  </si>
  <si>
    <t>1. Mở menu Dashboard, vào màn hình Dashboard Doanh thu &amp; Đơn hàng
2. Mở bộ chọn Store, bấm chip Hermès</t>
  </si>
  <si>
    <t>2. Chỉ 14 store Hermès được chọn; nhãn nút "Brand Hermès · 14 store" [Giả định AS-08]
- KPI, biểu đồ, bảng tính lại chỉ trên 14 store (bảng Theo Store còn 14 dòng)</t>
  </si>
  <si>
    <t>[Giả định AS-08] AC-SPM-011-02 ghi 14 store đã chọn</t>
  </si>
  <si>
    <t>Needs Clarification (AS-08)</t>
  </si>
  <si>
    <t>TC-STORE-004</t>
  </si>
  <si>
    <t>Kiểm tra tìm store theo tên (landmark) và theo Brand (chopard)</t>
  </si>
  <si>
    <t>Từ khoá 1: landmark; Từ khoá 2: chopard</t>
  </si>
  <si>
    <t>1. Mở menu Dashboard, vào màn hình Dashboard Doanh thu &amp; Đơn hàng
2. Mở bộ chọn Store, gõ landmark
3. Xoá, gõ chopard</t>
  </si>
  <si>
    <t>2. Chỉ hiện store có landmark trong tên hoặc Brand (ví dụ Hermès Landmark 81)
3. Hiện các store Brand Chopard</t>
  </si>
  <si>
    <t>AC-SPM-011-03</t>
  </si>
  <si>
    <t>TC-STORE-005</t>
  </si>
  <si>
    <t>Kiểm tra không bỏ chọn được store cuối cùng</t>
  </si>
  <si>
    <t>1. Mở menu Dashboard, vào màn hình Dashboard Doanh thu &amp; Đơn hàng
2. Mở bộ chọn Store, bỏ chọn ST2
3. Bỏ chọn ST1</t>
  </si>
  <si>
    <t>2. Còn ST1 được chọn; nhãn nút là tên ST1
3. ST1 vẫn được chọn (không bỏ được); KPI không trống</t>
  </si>
  <si>
    <t>AC-SPM-011-04</t>
  </si>
  <si>
    <t>TC-STORE-006</t>
  </si>
  <si>
    <t>Kiểm tra chọn 3 store hiển thị nhãn 3 store đã chọn</t>
  </si>
  <si>
    <t>3 store bất kỳ</t>
  </si>
  <si>
    <t>1. Mở menu Dashboard, vào màn hình Dashboard Doanh thu &amp; Đơn hàng
2. Mở bộ chọn Store, bỏ chọn tất cả còn 1, chọn thêm 2 store</t>
  </si>
  <si>
    <t>2. Nhãn nút "3 store đã chọn"; bộ đếm 3 / tổng</t>
  </si>
  <si>
    <t>TC-STORE-007</t>
  </si>
  <si>
    <t>Kiểm tra nút chọn tất cả và bộ đếm đã chọn / tổng</t>
  </si>
  <si>
    <t>1. Mở menu Dashboard, vào màn hình Dashboard Doanh thu &amp; Đơn hàng
2. Mở bộ chọn Store, bấm chip Hermès
3. Bấm nút chọn tất cả</t>
  </si>
  <si>
    <t>2. Bộ đếm 14 / tổng
3. Mọi store được chọn; bộ đếm tổng / tổng; nhãn Toàn Tam Sơn</t>
  </si>
  <si>
    <t>TC-STORE-008</t>
  </si>
  <si>
    <t>Kiểm tra thu hẹp ST1 + ST2 xuống ST1 thì KPI, biểu đồ, bảng tính lại</t>
  </si>
  <si>
    <t>1. Mở menu Dashboard, vào màn hình Dashboard Doanh thu &amp; Đơn hàng
2. Nhập Từ ngày D, Đến ngày D trên lịch chọn khoảng, ghi Sales
3. Mở bộ chọn Store, chỉ chọn ST1</t>
  </si>
  <si>
    <t>2. Sales = 46 600 000
3. Sales = 42 600 000; Transactions = 5; Total Customers = 4; bảng không còn tab Theo Store; panel xếp hạng chuyển sang Client Advisor</t>
  </si>
  <si>
    <t>TC-STORE-009</t>
  </si>
  <si>
    <t>Kiểm tra chọn 6 store thì lọc Client Advisor bị khoá kèm gợi ý</t>
  </si>
  <si>
    <t>6 store</t>
  </si>
  <si>
    <t>1. Mở menu Dashboard, vào màn hình Dashboard Doanh thu &amp; Đơn hàng
2. Chọn đúng 6 store
3. Bấm vào bộ lọc Client Advisor</t>
  </si>
  <si>
    <t>3. Bộ lọc không mở; hiển thị gợi ý "Chọn ≤ 5 store để lọc"</t>
  </si>
  <si>
    <t>AC-SPM-011-05</t>
  </si>
  <si>
    <t>TC-STORE-010</t>
  </si>
  <si>
    <t>Kiểm tra chọn 5 store thì lọc Client Advisor mở và liệt kê CA kèm tên store</t>
  </si>
  <si>
    <t>5 store</t>
  </si>
  <si>
    <t>1. Mở menu Dashboard, vào màn hình Dashboard Doanh thu &amp; Đơn hàng
2. Chọn đúng 5 store
3. Mở bộ lọc Client Advisor</t>
  </si>
  <si>
    <t>3. Bộ lọc mở; danh sách chỉ gồm Client Advisor của 5 store, mỗi người có tên store kèm theo</t>
  </si>
  <si>
    <t>AC-SPM-011-06</t>
  </si>
  <si>
    <t>TC-STORE-011</t>
  </si>
  <si>
    <t>Kiểm tra chọn Client Advisor U-CA-A thì số liệu chỉ gồm bill người đó đứng tên</t>
  </si>
  <si>
    <t>Kỳ: D – D; Store: ST1; CA: U-CA-A</t>
  </si>
  <si>
    <t>1. Mở menu Dashboard, vào màn hình Dashboard Doanh thu &amp; Đơn hàng
2. Nhập Từ ngày D, Đến ngày D trên lịch chọn khoảng
3. Mở bộ chọn Store, chỉ chọn ST1
4. Chọn U-CA-A trong bộ lọc Client Advisor</t>
  </si>
  <si>
    <t>4. Transactions = 4 (O1, O2, O5, O6); Coupon % = 50.0% (O2, O6)</t>
  </si>
  <si>
    <t>TC-STORE-012</t>
  </si>
  <si>
    <t>Kiểm tra chọn 6 store: lọc Client Advisor bị khoá nhưng vẫn duyệt Client Advisor qua tab Theo Client Advisor</t>
  </si>
  <si>
    <t>6 store có phát sinh trong Tháng trước</t>
  </si>
  <si>
    <t>1. Mở menu Dashboard, vào màn hình Dashboard Doanh thu &amp; Đơn hàng
2. Bấm "Tháng trước", chọn đúng 6 store
3. Bấm tab Theo Client Advisor của bảng</t>
  </si>
  <si>
    <t>2. Bộ lọc Client Advisor khoá kèm gợi ý "Chọn ≤ 5 store để lọc"
3. Tab mở được, liệt kê Client Advisor có phát sinh của 6 store đã chọn</t>
  </si>
  <si>
    <t>Review R-11; BR-SPM-021</t>
  </si>
  <si>
    <t>TC-RANK-001</t>
  </si>
  <si>
    <t>14. Xếp hạng Top/Bottom</t>
  </si>
  <si>
    <t>Kiểm tra Top 10 xếp store theo Sales giảm dần, hạng 1–10, có Brand cạnh tên</t>
  </si>
  <si>
    <t>1. Mở menu Dashboard, vào màn hình Dashboard Doanh thu &amp; Đơn hàng
2. Bấm "Tháng trước"; panel Xếp hạng đang ở Top 10
3. Sắp bảng Theo Store theo Sales giảm dần</t>
  </si>
  <si>
    <t>2. 10 dòng hạng 1…10, Sales giảm dần, mỗi dòng có tên store + Brand và Sales đầy đủ
3. 10 store của panel trùng 10 dòng đầu bảng theo đúng thứ tự</t>
  </si>
  <si>
    <t>AC-SPM-011-07</t>
  </si>
  <si>
    <t>TC-RANK-002</t>
  </si>
  <si>
    <t>Kiểm tra Bottom 10 hiển thị hạng thực N…N−9 từ thấp lên</t>
  </si>
  <si>
    <t>Kỳ: Tháng trước; N = số store có phát sinh</t>
  </si>
  <si>
    <t>1. Mở menu Dashboard, vào màn hình Dashboard Doanh thu &amp; Đơn hàng
2. Bấm "Tháng trước", bấm Bottom 10</t>
  </si>
  <si>
    <t>2. 10 dòng hạng N, N−1 … N−9 (ví dụ 100…91), dòng đầu có Sales thấp nhất</t>
  </si>
  <si>
    <t>TC-RANK-003</t>
  </si>
  <si>
    <t>Kiểm tra xếp hạng tính theo cách nhìn thuế đang chọn</t>
  </si>
  <si>
    <t>1. Mở menu Dashboard, vào màn hình Dashboard Doanh thu &amp; Đơn hàng
2. Bấm "Tháng trước", bấm "Trước thuế"
3. Sắp bảng Theo Store theo Sales (Trước thuế) giảm dần</t>
  </si>
  <si>
    <t>2. Sales trong panel là giá trị trước thuế
3. Thứ tự Top 10 trùng 10 dòng đầu bảng theo Sales trước thuế</t>
  </si>
  <si>
    <t>TC-RANK-004</t>
  </si>
  <si>
    <t>Kiểm tra store không phát sinh trong kỳ không xuất hiện trong xếp hạng</t>
  </si>
  <si>
    <t>1. Theo SETUP-01: đăng nhập U-SM12
2. Theo SETUP-02 (ngày D−1: chỉ ST1 có O0; ST2 không có đơn)</t>
  </si>
  <si>
    <t>Kỳ: D−1 – D−1; Store: ST1 + ST2</t>
  </si>
  <si>
    <t>1. Mở menu Dashboard, vào màn hình Dashboard Doanh thu &amp; Đơn hàng
2. Nhập Từ ngày D−1, Đến ngày D−1 trên lịch chọn khoảng</t>
  </si>
  <si>
    <t>2. Panel xếp hạng chỉ có ST1 (hạng 1, 3 200 000); không có ST2</t>
  </si>
  <si>
    <t>TC-RANK-005</t>
  </si>
  <si>
    <t>Kiểm tra store có Sales âm (chỉ đơn trả) vẫn được xếp hạng ở hạng cuối</t>
  </si>
  <si>
    <t>Kỳ: D+1 – D+1; Store: ST1 (−6 600 000) + ST2 (0)</t>
  </si>
  <si>
    <t>1. Mở menu Dashboard, vào màn hình Dashboard Doanh thu &amp; Đơn hàng
2. Nhập Từ ngày D+1, Đến ngày D+1 trên lịch chọn khoảng
3. Bấm Bottom 10</t>
  </si>
  <si>
    <t>3. 2 dòng: ST1 hạng 2 với Sales −6 600 000 (dấu −) ở dòng đầu, ST2 hạng 1 với Sales 0; ST1 có mặt dù không có đơn bán (có đơn trả)</t>
  </si>
  <si>
    <t>TC-RANK-006</t>
  </si>
  <si>
    <t>Kiểm tra phạm vi 1 store thì panel chuyển sang xếp hạng Client Advisor</t>
  </si>
  <si>
    <t>3. Panel liệt kê Client Advisor của ST1: U-CA-A hạng 1, U-CA-B hạng 2 (không còn xếp hạng store)</t>
  </si>
  <si>
    <t>Sales từng CA: [Cần xác nhận Q-31]</t>
  </si>
  <si>
    <t>TC-TABLE-001</t>
  </si>
  <si>
    <t>15. Bảng breakdown</t>
  </si>
  <si>
    <t>Kiểm tra bảng mặc định tab Theo Store, trang 1, 15 dòng, hiển thị từ–đến / tổng</t>
  </si>
  <si>
    <t>1. Mở menu Dashboard, vào màn hình Dashboard Doanh thu &amp; Đơn hàng
2. Xem bảng breakdown</t>
  </si>
  <si>
    <t>2. Tab Theo Store đang chọn; 15 dòng; chân bảng 1–15 / N store; phân trang 1/⌈N/15⌉ (ví dụ 1/7 với 100 store); Mỗi trang = 15</t>
  </si>
  <si>
    <t>AC-SPM-011-01</t>
  </si>
  <si>
    <t>TC-TABLE-002</t>
  </si>
  <si>
    <t>Kiểm tra đổi số dòng mỗi trang 30 và 50</t>
  </si>
  <si>
    <t>Mỗi trang: 30, 50</t>
  </si>
  <si>
    <t>1. Mở menu Dashboard, vào màn hình Dashboard Doanh thu &amp; Đơn hàng
2. Chọn Mỗi trang = 30
3. Chọn Mỗi trang = 50</t>
  </si>
  <si>
    <t>2. 30 dòng; 1–30 / N; số trang ⌈N/30⌉
3. 50 dòng; 1–50 / N; số trang ⌈N/50⌉</t>
  </si>
  <si>
    <t>TC-TABLE-003</t>
  </si>
  <si>
    <t>Kiểm tra trang cuối hiển thị đúng phần dòng còn lại</t>
  </si>
  <si>
    <t>Mỗi trang: 15; N = 100 store</t>
  </si>
  <si>
    <t>1. Mở menu Dashboard, vào màn hình Dashboard Doanh thu &amp; Đơn hàng
2. Bấm đến trang cuối</t>
  </si>
  <si>
    <t>2. Trang 7/7 hiển thị 10 dòng, chân bảng 91–100 / 100; nút trang sau bị khoá</t>
  </si>
  <si>
    <t>TC-TABLE-004</t>
  </si>
  <si>
    <t>Kiểm tra tìm chopard khi sắp Sales giảm dần: cột # giữ hạng thực</t>
  </si>
  <si>
    <t>Từ khoá: chopard</t>
  </si>
  <si>
    <t>1. Mở menu Dashboard, vào màn hình Dashboard Doanh thu &amp; Đơn hàng
2. Sắp cột Sales giảm dần, ghi hạng # của các store Chopard
3. Gõ chopard vào ô tìm kiếm của bảng</t>
  </si>
  <si>
    <t>3. Chỉ còn store Chopard; cột # giữ đúng hạng đã ghi ở bước 2 (ví dụ 2, 5, 9), không đánh số lại từ 1</t>
  </si>
  <si>
    <t>AC-SPM-011-08</t>
  </si>
  <si>
    <t>TC-TABLE-005</t>
  </si>
  <si>
    <t>Kiểm tra dòng Tổng không đổi khi tìm kiếm và đổi trang</t>
  </si>
  <si>
    <t>Từ khoá: hermès</t>
  </si>
  <si>
    <t>1. Mở menu Dashboard, vào màn hình Dashboard Doanh thu &amp; Đơn hàng
2. Ghi dòng Tổng; chuyển tới trang 3
3. Gõ hermès vào ô tìm kiếm</t>
  </si>
  <si>
    <t>2. Dòng Tổng giống trang 1
3. Dòng Tổng vẫn bằng giá trị đã ghi (toàn bộ phạm vi đã chọn), không phải tổng các dòng Hermès</t>
  </si>
  <si>
    <t>AC-SPM-011-09</t>
  </si>
  <si>
    <t>TC-TABLE-006</t>
  </si>
  <si>
    <t>Kiểm tra Σ Sales, Σ Transactions các dòng store bằng dòng Tổng; Total Customers không cộng dồn</t>
  </si>
  <si>
    <t>1. Mở menu Dashboard, vào màn hình Dashboard Doanh thu &amp; Đơn hàng
2. Nhập Từ ngày D, Đến ngày D trên lịch chọn khoảng
3. Xem tab Theo Store</t>
  </si>
  <si>
    <t>3. Dòng ST1: Sales 42 600 000, Transactions 5, Total Customers 4; dòng ST2: 4 000 000, 2, 2
- Dòng Tổng: Sales 46 600 000 (= tổng), Transactions 7 (= tổng), Total Customers 5 (&lt; 6), Frequency 1.40, Avg Spending 9 320 000</t>
  </si>
  <si>
    <t>AC-SPM-011-10</t>
  </si>
  <si>
    <t>TC-TABLE-007</t>
  </si>
  <si>
    <t>Kiểm tra sắp xếp theo cột và cột # theo thứ tự sắp xếp hiện tại</t>
  </si>
  <si>
    <t>Cột: UPT</t>
  </si>
  <si>
    <t>1. Mở menu Dashboard, vào màn hình Dashboard Doanh thu &amp; Đơn hàng
2. Bấm tiêu đề cột UPT (tăng dần)
3. Bấm lại tiêu đề cột UPT (giảm dần)</t>
  </si>
  <si>
    <t>2. Các dòng xếp UPT tăng dần; cột # đánh 1 cho dòng UPT nhỏ nhất
3. Xếp UPT giảm dần; # = 1 cho dòng UPT lớn nhất; dòng Tổng không đổi</t>
  </si>
  <si>
    <t>TC-TABLE-008</t>
  </si>
  <si>
    <t>Kiểm tra chọn 1 store thì không có tab Theo Store</t>
  </si>
  <si>
    <t>Store: ST1</t>
  </si>
  <si>
    <t>1. Mở menu Dashboard, vào màn hình Dashboard Doanh thu &amp; Đơn hàng
2. Mở bộ chọn Store, chỉ chọn ST1</t>
  </si>
  <si>
    <t>2. Không có tab Theo Store; có tab Theo Client Advisor; tab Theo Brand không hiển thị (tập đang chọn 1 Brand) [Cần xác nhận Q-37]</t>
  </si>
  <si>
    <t>[Cần xác nhận Q-37] cho phần tab Theo Brand</t>
  </si>
  <si>
    <t>Needs Clarification (Q-37)</t>
  </si>
  <si>
    <t>TC-TABLE-009</t>
  </si>
  <si>
    <t>Kiểm tra phạm vi 1 Brand (Retail Manager Hermès) thì không có tab Theo Brand</t>
  </si>
  <si>
    <t>1. Theo SETUP-01: đăng nhập U-RM-HER</t>
  </si>
  <si>
    <t>1. Có tab Theo Store và Theo Client Advisor; không có tab Theo Brand</t>
  </si>
  <si>
    <t>TC-TABLE-010</t>
  </si>
  <si>
    <t>Kiểm tra tab Theo Brand với phạm vi 2 Brand hiển thị 2 dòng kèm số store</t>
  </si>
  <si>
    <t>Kỳ: D – D; Store: ST1 (BR-1) + ST2 (BR-2)</t>
  </si>
  <si>
    <t>1. Mở menu Dashboard, vào màn hình Dashboard Doanh thu &amp; Đơn hàng
2. Nhập Từ ngày D, Đến ngày D trên lịch chọn khoảng
3. Bấm tab Theo Brand</t>
  </si>
  <si>
    <t>3. 2 dòng: BR-1 (Số store 1, Sales 42 600 000), BR-2 (Số store 1, Sales 4 000 000); dòng Tổng 46 600 000</t>
  </si>
  <si>
    <t>TC-TABLE-011</t>
  </si>
  <si>
    <t>FR-SPM-011;FR-SPM-009</t>
  </si>
  <si>
    <t>Kiểm tra tab Theo Client Advisor: tổng các dòng lớn hơn dòng Tổng và có ghi chú vàng</t>
  </si>
  <si>
    <t>1. Mở menu Dashboard, vào màn hình Dashboard Doanh thu &amp; Đơn hàng
2. Nhập Từ ngày D, Đến ngày D trên lịch chọn khoảng
3. Mở bộ chọn Store, chỉ chọn ST1
4. Bấm tab Theo Client Advisor</t>
  </si>
  <si>
    <t>4. Dòng U-CA-A Transactions 4, U-CA-B Transactions 2; dòng Tổng Transactions 5 (4 + 2 &gt; 5)
- Phía trên bảng có ghi chú nền vàng "Tổng các nhân viên có thể lớn hơn tổng store do 1 bill có nhiều nhân viên cùng đứng tên"</t>
  </si>
  <si>
    <t>BR-SPM-002; Sales từng CA: [Cần xác nhận Q-31]</t>
  </si>
  <si>
    <t>TC-TABLE-012</t>
  </si>
  <si>
    <t>Kiểm tra bảng Theo Store cấp gộp có ghi chú Avg Spending và Frequency không cộng dồn</t>
  </si>
  <si>
    <t>1. Mở menu Dashboard, vào màn hình Dashboard Doanh thu &amp; Đơn hàng
2. Đọc ghi chú quanh bảng Theo Store</t>
  </si>
  <si>
    <t>2. Có ghi chú Avg Spending/Customer và Frequency không cộng dồn giữa các store</t>
  </si>
  <si>
    <t>TC-TABLE-013</t>
  </si>
  <si>
    <t>Kiểm tra store không phát sinh trong kỳ không có dòng và có ghi chú</t>
  </si>
  <si>
    <t>1. Mở menu Dashboard, vào màn hình Dashboard Doanh thu &amp; Đơn hàng
2. Nhập Từ ngày D−1, Đến ngày D−1 trên lịch chọn khoảng
3. Xem tab Theo Store</t>
  </si>
  <si>
    <t>3. Chỉ có dòng ST1; không có dòng ST2; bảng có ghi chú về store không phát sinh [Cần xác nhận Q-24]</t>
  </si>
  <si>
    <t>[Cần xác nhận Q-24] nội dung ghi chú</t>
  </si>
  <si>
    <t>Needs Clarification (Q-24)</t>
  </si>
  <si>
    <t>TC-TABLE-014</t>
  </si>
  <si>
    <t>Kiểm tra tìm theo tên Brand trong tab Theo Store</t>
  </si>
  <si>
    <t>Từ khoá: patek</t>
  </si>
  <si>
    <t>1. Mở menu Dashboard, vào màn hình Dashboard Doanh thu &amp; Đơn hàng
2. Gõ patek vào ô tìm kiếm của bảng</t>
  </si>
  <si>
    <t>2. Chỉ còn store Brand Patek Philippe; chân bảng cập nhật số dòng khớp; dòng Tổng không đổi</t>
  </si>
  <si>
    <t>TC-TABLE-015</t>
  </si>
  <si>
    <t>Kiểm tra cột Sales có thanh dữ liệu nền tỉ lệ với dòng lớn nhất</t>
  </si>
  <si>
    <t>1. Mở menu Dashboard, vào màn hình Dashboard Doanh thu &amp; Đơn hàng
2. Quan sát cột Sales của 15 dòng đầu</t>
  </si>
  <si>
    <t>2. Mỗi ô Sales có thanh nền; dòng lớn nhất có thanh dài nhất, các dòng khác ngắn dần theo tỉ lệ Sales</t>
  </si>
  <si>
    <t>TC-TABLE-016</t>
  </si>
  <si>
    <t>Kiểm tra tab Theo Client Advisor ST3 ngày D: mỗi CA thấy trọn Sales bill, tổng Sales các CA lớn hơn dòng Tổng</t>
  </si>
  <si>
    <t>1. Theo SETUP-01: đăng nhập U-CRM
2. Theo SETUP-02 (ST3 ngày D: OC1 15 000 000 đứng tên CA-D, CA-E, CA-F; OC2 10 000 000 đứng tên CA-D; không có đơn trả)</t>
  </si>
  <si>
    <t>1. Mở menu Dashboard, vào màn hình Dashboard Doanh thu &amp; Đơn hàng
2. Nhập Từ ngày D, Đến ngày D trên lịch chọn khoảng
3. Mở bộ chọn Store, chỉ chọn ST3
4. Bấm tab Theo Client Advisor</t>
  </si>
  <si>
    <t>4. CA-D: Sales 25 000 000, Transactions 2; CA-E: 15 000 000, 1; CA-F: 15 000 000, 1
- Dòng Tổng: Sales 25 000 000, Transactions 2; tổng Sales các dòng 55 000 000 &gt; 25 000 000
- Có ghi chú "Tổng các nhân viên có thể lớn hơn tổng store do 1 bill có nhiều nhân viên cùng đứng tên"</t>
  </si>
  <si>
    <t>Review R-12; AC-SPM-001-04 phần Sales</t>
  </si>
  <si>
    <t>TC-TABLE-017</t>
  </si>
  <si>
    <t>Kiểm tra CRM bấm chip Hermès (tập đang chọn 1 Brand) thì bảng không còn tab Theo Brand</t>
  </si>
  <si>
    <t>1. Mở menu Dashboard, vào màn hình Dashboard Doanh thu &amp; Đơn hàng
2. Mở bộ chọn Store, bấm chip Hermès
3. Xem các tab của bảng</t>
  </si>
  <si>
    <t>3. Có tab Theo Store và Theo Client Advisor; không có tab Theo Brand [Cần xác nhận Q-37]</t>
  </si>
  <si>
    <t>Review R-05; mockup image2</t>
  </si>
  <si>
    <t>TC-TABLE-018</t>
  </si>
  <si>
    <t>Kiểm tra đổi thuế khi bảng đang sắp theo Sales: thứ tự và cột # tính lại theo Sales thuế mới, dòng Tổng đổi giá trị tiền</t>
  </si>
  <si>
    <t>Kỳ: Tháng trước; sắp Sales giảm dần</t>
  </si>
  <si>
    <t>1. Mở menu Dashboard, vào màn hình Dashboard Doanh thu &amp; Đơn hàng
2. Bấm "Tháng trước", sắp cột Sales giảm dần, ghi 15 dòng đầu
3. Bấm "Trước thuế"</t>
  </si>
  <si>
    <t>3. Bảng vẫn sắp theo Sales (Trước thuế) giảm dần; cột # đánh theo thứ tự mới; tiêu đề cột Sales ghi Trước thuế; Transactions từng dòng không đổi</t>
  </si>
  <si>
    <t>IX-30</t>
  </si>
  <si>
    <t>TC-INC-001</t>
  </si>
  <si>
    <t>16. Incentive nhân viên</t>
  </si>
  <si>
    <t>FR-INC-001</t>
  </si>
  <si>
    <t>Kiểm tra bill 2 dòng Hanoia và Hermès: mỗi dòng chia theo tỷ lệ Brand của chính dòng đó</t>
  </si>
  <si>
    <t>1. Theo SETUP-06: kênh quan sát Incentive
2. Theo SETUP-11: bill tạo trên POS
3. Theo SETUP-05: khách có PIC = U-CA-A tại ST1</t>
  </si>
  <si>
    <t>Dòng 1 Hanoia 10 000 000; Dòng 2 Hermès 10 000 000; đứng tên: U-CA-A (PIC), U-CA-B</t>
  </si>
  <si>
    <t>1. Tạo bill trên POS tại ST1 theo Test_Data, không giảm giá
2. Xem Incentive theo dòng của bill qua kênh SETUP-06</t>
  </si>
  <si>
    <t>2. Dòng Hanoia: U-CA-A 7 000 000 (70%), U-CA-B 3 000 000 (30%)
- Dòng Hermès: U-CA-A 5 000 000 (50%), U-CA-B 5 000 000 (50%)</t>
  </si>
  <si>
    <t>AC-INC-001-01; Hermès PIC + 1 Other CA = 50/50 suy từ AC-INC-004-08. [Cần xác nhận Q-10] base giá trị dòng; [Cần xác nhận Q-09] nơi hiển thị</t>
  </si>
  <si>
    <t>Blocked (SETUP-06, Q-09, Q-10)</t>
  </si>
  <si>
    <t>TC-INC-002</t>
  </si>
  <si>
    <t>FR-INC-002</t>
  </si>
  <si>
    <t>Kiểm tra dòng giảm 20% với Threshold mặc định 100% đủ điều kiện tính Incentive</t>
  </si>
  <si>
    <t>1. Theo SETUP-06: kênh quan sát Incentive
2. Theo SETUP-11: bill tạo trên POS
3. Theo SETUP-05: khách không có PIC</t>
  </si>
  <si>
    <t>Gross 10 000 000; Net 8 000 000 (Discount 20%); đứng tên: U-CA-A</t>
  </si>
  <si>
    <t>1. Tạo bill 1 dòng tại ST1 theo Test_Data
2. Xem Incentive của U-CA-A cho dòng</t>
  </si>
  <si>
    <t>2. Dòng đủ điều kiện; U-CA-A nhận 100% giá trị dòng (8 000 000)</t>
  </si>
  <si>
    <t>AC-INC-002-01. [Cần xác nhận Q-10] base giá trị dòng; [Cần xác nhận Q-09] nơi hiển thị [Cần xác nhận Q-41] cơ sở tính Discount %</t>
  </si>
  <si>
    <t>Blocked (SETUP-06, Q-09, Q-10, Q-41)</t>
  </si>
  <si>
    <t>TC-INC-003</t>
  </si>
  <si>
    <t>Kiểm tra dòng giảm 100% bằng Threshold 100% bị loại khỏi Incentive</t>
  </si>
  <si>
    <t>Gross 10 000 000; Net 0 (Discount 100%); dòng 2: Gross 5 000 000, Net 5 000 000; đứng tên: U-CA-A</t>
  </si>
  <si>
    <t>1. Tạo bill 2 dòng tại ST1 theo Test_Data
2. Xem Incentive của U-CA-A</t>
  </si>
  <si>
    <t>2. Dòng giảm 100% không tính Incentive; U-CA-A chỉ nhận từ dòng 2 (5 000 000)</t>
  </si>
  <si>
    <t>AC-INC-002-02. [Cần xác nhận Q-10] base giá trị dòng; [Cần xác nhận Q-09] nơi hiển thị [Cần xác nhận Q-41] cơ sở tính Discount %</t>
  </si>
  <si>
    <t>TC-INC-004</t>
  </si>
  <si>
    <t>Kiểm tra Threshold Brand X = 30%, dòng giảm 29.99% vẫn đủ điều kiện</t>
  </si>
  <si>
    <t>1. Theo SETUP-06: kênh quan sát Incentive
2. Theo SETUP-11: bill tạo trên POS
3. Theo SETUP-04: Threshold Brand X = 30%
4. Theo SETUP-05: khách không có PIC</t>
  </si>
  <si>
    <t>Brand X; Gross 10 000 000; Net 7 001 000 (Discount 29.99%); đứng tên: U-CA-A</t>
  </si>
  <si>
    <t>1. Tạo bill 1 dòng Brand X theo Test_Data
2. Xem Incentive của U-CA-A</t>
  </si>
  <si>
    <t>2. Dòng đủ điều kiện; U-CA-A nhận 7 001 000 [Cần xác nhận Q-12]</t>
  </si>
  <si>
    <t>[Cần xác nhận Q-12] làm tròn Discount %. [Cần xác nhận Q-10] base giá trị dòng; [Cần xác nhận Q-09] nơi hiển thị [Cần xác nhận Q-41] cơ sở tính Discount %</t>
  </si>
  <si>
    <t>Blocked (SETUP-04, SETUP-06, Q-09, Q-10, Q-12, Q-41)</t>
  </si>
  <si>
    <t>TC-INC-005</t>
  </si>
  <si>
    <t>Kiểm tra Threshold Brand X = 30%, dòng giảm đúng 30.00% bị loại</t>
  </si>
  <si>
    <t>Brand X; Gross 10 000 000; Net 7 000 000 (Discount 30.00%); đứng tên: U-CA-A</t>
  </si>
  <si>
    <t>2. Dòng không tính Incentive; U-CA-A không nhận gì từ bill</t>
  </si>
  <si>
    <t>Discount % ≥ Threshold → loại. [Cần xác nhận Q-10] base giá trị dòng; [Cần xác nhận Q-09] nơi hiển thị [Cần xác nhận Q-41] cơ sở tính Discount %</t>
  </si>
  <si>
    <t>Blocked (SETUP-04, SETUP-06, Q-09, Q-10, Q-41)</t>
  </si>
  <si>
    <t>TC-INC-006</t>
  </si>
  <si>
    <t>Kiểm tra 2 dòng cùng Brand X (15% và 40%) xét độc lập với Threshold 30%</t>
  </si>
  <si>
    <t>Dòng 1: Gross 10 000 000, Net 8 500 000 (15%); Dòng 2: Gross 10 000 000, Net 6 000 000 (40%); đứng tên: U-CA-A</t>
  </si>
  <si>
    <t>1. Tạo bill theo Test_Data
2. Xem Incentive theo dòng</t>
  </si>
  <si>
    <t>2. Dòng 1 đủ điều kiện (U-CA-A 8 500 000); dòng 2 bị loại; dòng 2 không làm dòng 1 bị loại</t>
  </si>
  <si>
    <t>AC-INC-002-03. [Cần xác nhận Q-10] base giá trị dòng; [Cần xác nhận Q-09] nơi hiển thị [Cần xác nhận Q-41] cơ sở tính Discount %</t>
  </si>
  <si>
    <t>TC-INC-007</t>
  </si>
  <si>
    <t>Kiểm tra 2 dòng khác Brand: dòng Brand A vẫn tính khi dòng Brand X bị loại</t>
  </si>
  <si>
    <t>1. Theo SETUP-06: kênh quan sát Incentive
2. Theo SETUP-11: bill tạo trên POS
3. Theo SETUP-04: Threshold Brand X = 30%, Brand A = 100%
4. Theo SETUP-05: khách không có PIC</t>
  </si>
  <si>
    <t>Dòng A: Gross 10 000 000, Net 6 000 000 (40%); Dòng X: Gross 10 000 000, Net 6 000 000 (40%); đứng tên: U-CA-A</t>
  </si>
  <si>
    <t>2. Dòng A đủ điều kiện (40% &lt; 100%), U-CA-A nhận 6 000 000; dòng X bị loại (40% ≥ 30%)</t>
  </si>
  <si>
    <t>AC-INC-002-04. [Cần xác nhận Q-10] base giá trị dòng; [Cần xác nhận Q-09] nơi hiển thị [Cần xác nhận Q-41] cơ sở tính Discount %</t>
  </si>
  <si>
    <t>TC-INC-008</t>
  </si>
  <si>
    <t>Kiểm tra hạ Threshold Brand X không làm thay đổi ngưỡng của Brand khác</t>
  </si>
  <si>
    <t>1. Theo SETUP-06: kênh quan sát Incentive
2. Theo SETUP-11: bill tạo trên POS
3. Theo SETUP-04: chỉ hạ Threshold Brand X = 30%
4. Theo SETUP-05: khách không có PIC</t>
  </si>
  <si>
    <t>Brand Hanoia: Gross 10 000 000, Net 5 000 000 (50%); đứng tên: U-CA-A</t>
  </si>
  <si>
    <t>1. Tạo bill 1 dòng Hanoia theo Test_Data
2. Xem Incentive</t>
  </si>
  <si>
    <t>2. Dòng Hanoia vẫn đủ điều kiện (Threshold Hanoia giữ 100%); U-CA-A nhận 5 000 000</t>
  </si>
  <si>
    <t>BR-INC-001. [Cần xác nhận Q-10] base giá trị dòng; [Cần xác nhận Q-09] nơi hiển thị [Cần xác nhận Q-41] cơ sở tính Discount %</t>
  </si>
  <si>
    <t>TC-INC-009</t>
  </si>
  <si>
    <t>FR-INC-002;FR-INC-005</t>
  </si>
  <si>
    <t>Kiểm tra mọi dòng của bill bị loại thì bill không đóng góp Incentive cho ai</t>
  </si>
  <si>
    <t>2 dòng Brand X, mỗi dòng Discount 50%; đứng tên: U-CA-A, U-CA-B</t>
  </si>
  <si>
    <t>1. Tạo bill theo Test_Data
2. Xem tổng Incentive kỳ của U-CA-A, U-CA-B trước và sau khi tạo bill</t>
  </si>
  <si>
    <t>2. Tổng Incentive của U-CA-A, U-CA-B không đổi</t>
  </si>
  <si>
    <t>[Cần xác nhận Q-10] base giá trị dòng; [Cần xác nhận Q-09] nơi hiển thị [Cần xác nhận Q-41] cơ sở tính Discount %</t>
  </si>
  <si>
    <t>TC-INC-010</t>
  </si>
  <si>
    <t>FR-INC-003</t>
  </si>
  <si>
    <t>Kiểm tra khách không có PIC: chia đều tổng dòng đủ điều kiện 10 000 000 cho 2 CA</t>
  </si>
  <si>
    <t>1. Theo SETUP-06: kênh quan sát Incentive
2. Theo SETUP-11: bill tạo trên POS
3. Theo SETUP-04: Threshold Brand X = 30%
4. Theo SETUP-05: khách B2C không có PIC</t>
  </si>
  <si>
    <t>Dòng 1: 6 000 000 (0%); Dòng 2: 4 000 000 (0%); Dòng 3 Brand X Discount 50%; đứng tên: U-CA-A, U-CA-B</t>
  </si>
  <si>
    <t>1. Tạo bill theo Test_Data
2. Xem Incentive của U-CA-A, U-CA-B</t>
  </si>
  <si>
    <t>2. Mỗi CA nhận 5 000 000 (10 000 000 ÷ 2), không tính dòng 3</t>
  </si>
  <si>
    <t>AC-INC-003-01, BR-INC-002. [Cần xác nhận Q-10] base giá trị dòng; [Cần xác nhận Q-09] nơi hiển thị [Cần xác nhận Q-41] cơ sở tính Discount %</t>
  </si>
  <si>
    <t>TC-INC-011</t>
  </si>
  <si>
    <t>Kiểm tra khách không có PIC, 3 nhân viên đứng tên: chia đều 1/3 tổng dòng đủ điều kiện</t>
  </si>
  <si>
    <t>1. Theo SETUP-06: kênh quan sát Incentive
2. Theo SETUP-11: bill tạo trên POS
3. Theo SETUP-05: khách B2C không có PIC</t>
  </si>
  <si>
    <t>1 dòng 10 000 000; đứng tên: U-CA-A, U-CA-B, CA-C</t>
  </si>
  <si>
    <t>1. Tạo bill theo Test_Data
2. Xem Incentive 3 nhân viên</t>
  </si>
  <si>
    <t>2. Mỗi người nhận 1/3 giá trị (≈ 3 333 333); tổng 3 người = 10 000 000 [Cần xác nhận Q-26]</t>
  </si>
  <si>
    <t>[Cần xác nhận Q-26] làm tròn. [Cần xác nhận Q-10] base giá trị dòng; [Cần xác nhận Q-09] nơi hiển thị</t>
  </si>
  <si>
    <t>Blocked (SETUP-06, Q-09, Q-10, Q-26)</t>
  </si>
  <si>
    <t>TC-INC-012</t>
  </si>
  <si>
    <t>FR-INC-003;FR-INC-005</t>
  </si>
  <si>
    <t>Kiểm tra khách B2B: Incentive N/A, không cộng vào nhân viên nào</t>
  </si>
  <si>
    <t>1. Theo SETUP-06: kênh quan sát Incentive
2. Theo SETUP-11: bill tạo trên POS
3. Theo SETUP-05: khách B2B (Business Account)</t>
  </si>
  <si>
    <t>1 dòng Hermès 10 000 000; đứng tên: U-CA-A, U-CA-B</t>
  </si>
  <si>
    <t>1. Tạo bill theo Test_Data
2. Xem Incentive của bill và tổng kỳ của U-CA-A, U-CA-B</t>
  </si>
  <si>
    <t>2. Incentive bill = N/A; tổng kỳ của U-CA-A, U-CA-B không tăng</t>
  </si>
  <si>
    <t>AC-INC-003-02, BR-INC-005. [Cần xác nhận Q-10] base giá trị dòng; [Cần xác nhận Q-09] nơi hiển thị</t>
  </si>
  <si>
    <t>TC-INC-013</t>
  </si>
  <si>
    <t>Kiểm tra Incentive dùng PIC tại thời điểm bill, không đổi khi PIC thay đổi sau đó</t>
  </si>
  <si>
    <t>Hanoia 10 000 000; đứng tên: U-CA-A, U-CA-B</t>
  </si>
  <si>
    <t>1. Tạo bill theo Test_Data, ghi Incentive
2. Đổi PIC của khách tại ST1 sang U-CA-B
3. Xem lại Incentive bill (chờ job tính lại)</t>
  </si>
  <si>
    <t>1. U-CA-A 7 000 000 (PIC 70%), U-CA-B 3 000 000
3. Không đổi so với bước 1</t>
  </si>
  <si>
    <t>[Cần xác nhận Q-10] base giá trị dòng; [Cần xác nhận Q-09] nơi hiển thị</t>
  </si>
  <si>
    <t>TC-INC-014</t>
  </si>
  <si>
    <t>Kiểm tra khách có PIC ở store khác store phát sinh bill được coi là không có PIC</t>
  </si>
  <si>
    <t>1. Theo SETUP-06: kênh quan sát Incentive
2. Theo SETUP-11: bill tạo trên POS
3. Theo SETUP-05: khách có PIC tại ST2, không có PIC tại ST1</t>
  </si>
  <si>
    <t>Bill tại ST1: 1 dòng Hanoia 10 000 000; đứng tên: U-CA-A, U-CA-B</t>
  </si>
  <si>
    <t>1. Tạo bill tại ST1 theo Test_Data
2. Xem Incentive</t>
  </si>
  <si>
    <t>2. Chia đều: U-CA-A 5 000 000, U-CA-B 5 000 000 (nhánh không PIC)</t>
  </si>
  <si>
    <t>TC-INC-015</t>
  </si>
  <si>
    <t>FR-INC-004;FR-INC-003</t>
  </si>
  <si>
    <t>Kiểm tra Hanoia, PIC trên bill có Other CA: PIC 70%, Other CA 30%</t>
  </si>
  <si>
    <t>Hanoia 10 000 000; đứng tên: U-CA-A (PIC), U-CA-B</t>
  </si>
  <si>
    <t>1. Tạo bill theo Test_Data
2. Xem Incentive</t>
  </si>
  <si>
    <t>2. U-CA-A 7 000 000; U-CA-B 3 000 000</t>
  </si>
  <si>
    <t>AC-INC-004-01, AC-INC-003-03. [Cần xác nhận Q-10] base giá trị dòng; [Cần xác nhận Q-09] nơi hiển thị</t>
  </si>
  <si>
    <t>TC-INC-016</t>
  </si>
  <si>
    <t>FR-INC-004</t>
  </si>
  <si>
    <t>Kiểm tra Hanoia, PIC không trên bill có Other CA: PIC 0%, Other CA 100%</t>
  </si>
  <si>
    <t>Hanoia 10 000 000; đứng tên: U-CA-B</t>
  </si>
  <si>
    <t>2. U-CA-B 10 000 000; U-CA-A 0</t>
  </si>
  <si>
    <t>AC-INC-004-02. [Cần xác nhận Q-10] base giá trị dòng; [Cần xác nhận Q-09] nơi hiển thị</t>
  </si>
  <si>
    <t>TC-INC-017</t>
  </si>
  <si>
    <t>Kiểm tra nhóm Kenzo, Marc Jacobs, Rimowa…: PIC trên bill có Other CA nhận 100%</t>
  </si>
  <si>
    <t>Lặp cho từng Brand: Kenzo, Marc Jacobs, Rimowa, Bang &amp; Olufsen, Devialet, Tâm Sơn Living, Patek Philippe; 1 dòng 10 000 000; đứng tên: U-CA-A (PIC), U-CA-B</t>
  </si>
  <si>
    <t>1. Với mỗi Brand: tạo bill theo Test_Data
2. Xem Incentive</t>
  </si>
  <si>
    <t>2. Mỗi Brand: U-CA-A 10 000 000; U-CA-B 0</t>
  </si>
  <si>
    <t>AC-INC-004-03. [Cần xác nhận Q-10] base giá trị dòng; [Cần xác nhận Q-09] nơi hiển thị</t>
  </si>
  <si>
    <t>TC-INC-018</t>
  </si>
  <si>
    <t>Kiểm tra nhóm Chopard, Chaumet, Piaget, JLC, Buccellati: PIC không trên bill vẫn nhận 70%</t>
  </si>
  <si>
    <t>Lặp cho: Chopard, Chaumet, Piaget, JLC, Buccellati; 1 dòng 10 000 000; đứng tên: U-CA-B</t>
  </si>
  <si>
    <t>2. Mỗi Brand: U-CA-A (PIC vắng) 7 000 000; U-CA-B 3 000 000</t>
  </si>
  <si>
    <t>AC-INC-004-04. [Cần xác nhận Q-10] base giá trị dòng; [Cần xác nhận Q-09] nơi hiển thị</t>
  </si>
  <si>
    <t>TC-INC-019</t>
  </si>
  <si>
    <t>Kiểm tra nhóm Loewe, BV, TB, Sandro, Maje, MK, Longchamp: PIC trên bill có Other CA chia 50/50</t>
  </si>
  <si>
    <t>Lặp cho: Loewe, BV, TB, Sandro, Maje, MK, Longchamp; 1 dòng 10 000 000; đứng tên: U-CA-A (PIC), U-CA-B</t>
  </si>
  <si>
    <t>2. Mỗi Brand: U-CA-A 5 000 000; U-CA-B 5 000 000</t>
  </si>
  <si>
    <t>AC-INC-004-05. [Cần xác nhận Q-10] base giá trị dòng; [Cần xác nhận Q-09] nơi hiển thị</t>
  </si>
  <si>
    <t>TC-INC-020</t>
  </si>
  <si>
    <t>Kiểm tra nhóm BOSS, BOSS Green, HUGO, FL, ADLV: PIC không trên bill nhận 0%</t>
  </si>
  <si>
    <t>Lặp cho: BOSS, BOSS Green, HUGO, FL, ADLV; 1 dòng 10 000 000; đứng tên: U-CA-B</t>
  </si>
  <si>
    <t>2. Mỗi Brand: U-CA-B 10 000 000; U-CA-A 0</t>
  </si>
  <si>
    <t>AC-INC-004-06. [Cần xác nhận Q-10] base giá trị dòng; [Cần xác nhận Q-09] nơi hiển thị</t>
  </si>
  <si>
    <t>TC-INC-021</t>
  </si>
  <si>
    <t>Kiểm tra Hermès, PIC đứng tên một mình nhận 100%</t>
  </si>
  <si>
    <t>Hermès 10 000 000; đứng tên: U-CA-A</t>
  </si>
  <si>
    <t>2. U-CA-A 10 000 000</t>
  </si>
  <si>
    <t>AC-INC-004-07. [Cần xác nhận Q-10] base giá trị dòng; [Cần xác nhận Q-09] nơi hiển thị</t>
  </si>
  <si>
    <t>TC-INC-022</t>
  </si>
  <si>
    <t>Kiểm tra Hermès, PIC + 2 Other CA: 50% / 25% / 25%</t>
  </si>
  <si>
    <t>Hermès 10 000 000; đứng tên: U-CA-A (PIC), U-CA-B, CA-C</t>
  </si>
  <si>
    <t>2. U-CA-A 5 000 000; U-CA-B 2 500 000; CA-C 2 500 000</t>
  </si>
  <si>
    <t>AC-INC-004-08, BR-INC-004. [Cần xác nhận Q-10] base giá trị dòng; [Cần xác nhận Q-09] nơi hiển thị</t>
  </si>
  <si>
    <t>TC-INC-023</t>
  </si>
  <si>
    <t>Kiểm tra Hanoia, PIC + 3 Other CA: 70% / 10% / 10% / 10%</t>
  </si>
  <si>
    <t>Hanoia 10 000 000; đứng tên: U-CA-A (PIC), U-CA-B, CA-C, CA-D</t>
  </si>
  <si>
    <t>2. U-CA-A 7 000 000; U-CA-B, CA-C, CA-D mỗi người 1 000 000</t>
  </si>
  <si>
    <t>AC-INC-004-11. [Cần xác nhận Q-10] base giá trị dòng; [Cần xác nhận Q-09] nơi hiển thị</t>
  </si>
  <si>
    <t>TC-INC-024</t>
  </si>
  <si>
    <t>Kiểm tra Brand chưa có dòng cấu hình tường minh, PIC đứng tên một mình nhận 100%</t>
  </si>
  <si>
    <t>Lặp cho: Hanoia, Kenzo, Marc Jacobs, Rimowa, Bang &amp; Olufsen, Devialet, Tâm Sơn Living, Chopard, Patek Philippe; 1 dòng 10 000 000; đứng tên: U-CA-A</t>
  </si>
  <si>
    <t>2. Mỗi Brand: U-CA-A 10 000 000</t>
  </si>
  <si>
    <t>AC-INC-004-09, BR-INC-003. [Cần xác nhận Q-10] base giá trị dòng; [Cần xác nhận Q-09] nơi hiển thị</t>
  </si>
  <si>
    <t>TC-INC-025</t>
  </si>
  <si>
    <t>Kiểm tra bill có PIC: dòng bị loại không tra cấu hình, dòng còn lại chia bình thường</t>
  </si>
  <si>
    <t>1. Theo SETUP-06: kênh quan sát Incentive
2. Theo SETUP-11: bill tạo trên POS
3. Theo SETUP-04: Threshold Brand X = 30%
4. Theo SETUP-05: khách có PIC = U-CA-A tại ST1</t>
  </si>
  <si>
    <t>Dòng Hanoia 10 000 000 (0%); Dòng Brand X Discount 50%; đứng tên: U-CA-A (PIC), U-CA-B</t>
  </si>
  <si>
    <t>2. Dòng Hanoia: U-CA-A 7 000 000, U-CA-B 3 000 000; dòng Brand X không có Incentive</t>
  </si>
  <si>
    <t>AC-INC-004-10. [Cần xác nhận Q-10] base giá trị dòng; [Cần xác nhận Q-09] nơi hiển thị [Cần xác nhận Q-41] cơ sở tính Discount %</t>
  </si>
  <si>
    <t>TC-INC-026</t>
  </si>
  <si>
    <t>FR-INC-005</t>
  </si>
  <si>
    <t>Kiểm tra tổng Incentive kỳ của nhân viên cộng dồn từ 3 bill khác nguồn</t>
  </si>
  <si>
    <t>1. Theo SETUP-06: kênh quan sát Incentive
2. Theo SETUP-11: bill tạo trên POS
3. Theo SETUP-05: khách P có PIC = U-CA-A; khách N không PIC</t>
  </si>
  <si>
    <t>Bill 1 (khách P) Hanoia 10 000 000, đứng tên U-CA-A, U-CA-B; Bill 2 (khách P) Hermès 10 000 000, đứng tên U-CA-A; Bill 3 (khách N) 6 000 000, đứng tên U-CA-A, U-CA-B; cùng ngày F</t>
  </si>
  <si>
    <t>1. Tạo 3 bill theo Test_Data
2. Xem tổng Incentive ngày F của U-CA-A, U-CA-B</t>
  </si>
  <si>
    <t>2. U-CA-A = 7 000 000 + 10 000 000 + 3 000 000 = 20 000 000; U-CA-B = 3 000 000 + 3 000 000 = 6 000 000</t>
  </si>
  <si>
    <t>AC-INC-005-01. [Cần xác nhận Q-10] base giá trị dòng; [Cần xác nhận Q-09] nơi hiển thị [Cần xác nhận Q-50] ngày gán kỳ</t>
  </si>
  <si>
    <t>Blocked (SETUP-06, Q-09, Q-10, Q-50)</t>
  </si>
  <si>
    <t>TC-INC-027</t>
  </si>
  <si>
    <t>Kiểm tra dòng bị loại không xuất hiện trong tổng Incentive kỳ của bất kỳ ai</t>
  </si>
  <si>
    <t>1. Theo SETUP-06: kênh quan sát Incentive
2. Theo SETUP-11: bill tạo trên POS
3. Theo SETUP-04: Threshold Brand X = 30%
4. Theo SETUP-05: khách không PIC</t>
  </si>
  <si>
    <t>Bill ngày F: dòng A 4 000 000 (0%), dòng Brand X 5 000 000 Discount 40%; đứng tên: U-CA-A</t>
  </si>
  <si>
    <t>1. Tạo bill theo Test_Data
2. Xem tổng Incentive ngày F của U-CA-A và drill-down theo dòng/Brand</t>
  </si>
  <si>
    <t>2. Tổng của U-CA-A tăng đúng 4 000 000; không có khoản nào từ dòng Brand X</t>
  </si>
  <si>
    <t>AC-INC-005-02. [Cần xác nhận Q-10] base giá trị dòng; [Cần xác nhận Q-09] nơi hiển thị [Cần xác nhận Q-41] cơ sở tính Discount % [Cần xác nhận Q-50] ngày gán kỳ</t>
  </si>
  <si>
    <t>Blocked (SETUP-04, SETUP-06, Q-09, Q-10, Q-41, Q-50)</t>
  </si>
  <si>
    <t>TC-INC-028</t>
  </si>
  <si>
    <t>Kiểm tra tổng Incentive theo bộ lọc kỳ chỉ gồm bill trong kỳ</t>
  </si>
  <si>
    <t>1. Theo SETUP-06: kênh quan sát Incentive
2. Theo SETUP-11: bill tạo trên POS
3. Theo SETUP-05: khách không PIC</t>
  </si>
  <si>
    <t>Bill ngày F 2 000 000 và ngày F+1 3 000 000, đứng tên U-CA-A</t>
  </si>
  <si>
    <t>1. Tạo 2 bill theo Test_Data
2. Xem tổng Incentive U-CA-A kỳ F – F
3. Xem kỳ F – F+1</t>
  </si>
  <si>
    <t>2. 2 000 000
3. 5 000 000</t>
  </si>
  <si>
    <t>[Cần xác nhận Q-10] base giá trị dòng; [Cần xác nhận Q-09] nơi hiển thị [Cần xác nhận Q-50] ngày gán kỳ</t>
  </si>
  <si>
    <t>TC-INC-029</t>
  </si>
  <si>
    <t>Kiểm tra drill-down tổng Incentive của nhân viên theo Brand</t>
  </si>
  <si>
    <t>1. Theo SETUP-06: kênh quan sát Incentive
2. Theo SETUP-11: bill tạo trên POS
3. Theo SETUP-05: khách có PIC = U-CA-A</t>
  </si>
  <si>
    <t>Bill Hanoia 10 000 000 và bill Hermès 10 000 000 ngày F, đứng tên U-CA-A</t>
  </si>
  <si>
    <t>1. Tạo 2 bill theo Test_Data
2. Xem tổng Incentive ngày F của U-CA-A, mở drill-down theo Brand</t>
  </si>
  <si>
    <t>2. Tổng 20 000 000; drill-down có 2 dòng Hanoia 10 000 000, Hermès 10 000 000</t>
  </si>
  <si>
    <t>TC-INC-030</t>
  </si>
  <si>
    <t>NFR-INC-002</t>
  </si>
  <si>
    <t>Kiểm tra mỗi khoản Incentive truy vết được về đúng bill và dòng sản phẩm gốc</t>
  </si>
  <si>
    <t>1. Theo SETUP-06: kênh quan sát Incentive
2. Theo SETUP-11: bill tạo trên POS
3. Theo SETUP-08
4. Theo SETUP-05: khách có PIC = U-CA-A tại ST1</t>
  </si>
  <si>
    <t>Bill Hanoia 10 000 000 tại ST1, đứng tên U-CA-A (PIC), U-CA-B</t>
  </si>
  <si>
    <t>1. Tạo bill theo Test_Data, chọn khoản Incentive của U-CA-A
2. Đối chiếu c_order_id, c_order_line_id với dữ liệu HUB qua SETUP-08</t>
  </si>
  <si>
    <t>2. Khoản Incentive gắn đúng 1 bill và 1 dòng sản phẩm gốc; Brand và giá trị dòng khớp HUB</t>
  </si>
  <si>
    <t>TC-INC-031</t>
  </si>
  <si>
    <t>Kiểm tra khách B2B có PIC đứng trên bill: Incentive vẫn N/A, không áp tỷ lệ PIC/Other CA</t>
  </si>
  <si>
    <t>1. Theo SETUP-06: kênh quan sát Incentive
2. Theo SETUP-11: bill tạo trên POS
3. Theo SETUP-05: khách B2B KB được gán PIC = U-CA-A tại ST1</t>
  </si>
  <si>
    <t>1 dòng Hanoia 10 000 000; đứng tên: U-CA-A (PIC), U-CA-B</t>
  </si>
  <si>
    <t>1. Tạo bill tại ST1 theo Test_Data
2. Xem Incentive của bill và tổng kỳ của U-CA-A, U-CA-B</t>
  </si>
  <si>
    <t>2. Incentive bill = N/A; U-CA-A, U-CA-B không nhận khoản nào từ bill (không áp 70% / 30%)</t>
  </si>
  <si>
    <t>Review R-13. [Cần xác nhận Q-10] [Cần xác nhận Q-09]</t>
  </si>
  <si>
    <t>TC-INC-032</t>
  </si>
  <si>
    <t>FR-INC-004;FR-INC-001</t>
  </si>
  <si>
    <t>Kiểm tra bill PIC vắng có dòng Chopard và dòng BOSS: tra cấu hình theo Brand từng dòng</t>
  </si>
  <si>
    <t>Dòng Chopard 10 000 000; dòng BOSS 10 000 000; không giảm giá; đứng tên: U-CA-B</t>
  </si>
  <si>
    <t>1. Tạo bill tại ST1 theo Test_Data
2. Xem Incentive theo dòng và tổng của U-CA-A, U-CA-B</t>
  </si>
  <si>
    <t>2. Dòng Chopard: U-CA-A 7 000 000, U-CA-B 3 000 000; dòng BOSS: U-CA-B 10 000 000, U-CA-A 0
- Tổng bill: U-CA-A 7 000 000; U-CA-B 13 000 000</t>
  </si>
  <si>
    <t>Review R-33. [Cần xác nhận Q-10] [Cần xác nhận Q-09]</t>
  </si>
  <si>
    <t>TC-MIG-001</t>
  </si>
  <si>
    <t>17. Migrate dữ liệu Incentive</t>
  </si>
  <si>
    <t>REQ-MIG-01</t>
  </si>
  <si>
    <t>Kiểm tra record có m_rma_id khác null bị bỏ qua khi migrate</t>
  </si>
  <si>
    <t>1. Theo SETUP-10: công cụ import migrate và file JSONL</t>
  </si>
  <si>
    <t>File 2 dòng: dòng mẫu tài liệu (m_rma_id null) và bản sao đổi c_order_line_id 50000102, m_rma_id 700001</t>
  </si>
  <si>
    <t>1. Import file theo Test_Data
2. Truy vấn bảng hoa hồng theo c_order_line_id 50000101, 50000102</t>
  </si>
  <si>
    <t>2. Có bản ghi cho 50000101; không có bản ghi nào cho 50000102</t>
  </si>
  <si>
    <t>Blocked (SETUP-10)</t>
  </si>
  <si>
    <t>TC-MIG-002</t>
  </si>
  <si>
    <t>Kiểm tra mỗi phần tử salerep_ids được bung thành một bản ghi hoa hồng</t>
  </si>
  <si>
    <t>Dòng JSONL mẫu của tài liệu (c_order_line_id 50000101, 2 phần tử salerep_ids)</t>
  </si>
  <si>
    <t>1. Import dòng mẫu
2. Truy vấn bảng hoa hồng theo c_order_line_id 50000101</t>
  </si>
  <si>
    <t>2. 2 bản ghi: erp_user_id 2001, PIC, 171 500, 1.75; erp_user_id 2002, CA_ON_BILL, 73 500, 0.75</t>
  </si>
  <si>
    <t>TC-MIG-003</t>
  </si>
  <si>
    <t>Kiểm tra giá tiền migrate được lưu theo dòng đơn, không gộp thành tổng đơn</t>
  </si>
  <si>
    <t>2 dòng cùng c_order_id 500001: 50000101 (total_amount 9 800 000) và 50000103 (total_amount 5 000 000)</t>
  </si>
  <si>
    <t>1. Import file theo Test_Data
2. Truy vấn dữ liệu đã migrate theo c_order_line_id</t>
  </si>
  <si>
    <t>2. Dòng 50000101 giữ sub_total 10 000 000, tax_amount 800 000, discount 1 000 000, total_amount 9 800 000; dòng 50000103 giữ total_amount 5 000 000; không có giá trị 14 800 000 gán cho một dòng</t>
  </si>
  <si>
    <t>TC-NFR-001</t>
  </si>
  <si>
    <t>18. Phi chức năng</t>
  </si>
  <si>
    <t>NFR-SPM-006</t>
  </si>
  <si>
    <t>Kiểm tra đổi Sau thuế/Trước thuế phản hồi dưới 400ms</t>
  </si>
  <si>
    <t>Performance</t>
  </si>
  <si>
    <t>1. Theo SETUP-01: đăng nhập U-CRM
2. Theo SETUP-07: môi trường có dữ liệu ~100 store
3. Theo SETUP-09: DevTools Performance</t>
  </si>
  <si>
    <t>1. Mở menu Dashboard, vào màn hình Dashboard Doanh thu &amp; Đơn hàng
2. Bấm "Năm này", chờ tải xong
3. Bắt đầu ghi Performance, bấm "Trước thuế", dừng ghi khi số đổi</t>
  </si>
  <si>
    <t>3. Thời gian từ click đến khi thẻ KPI, biểu đồ, bảng cập nhật &lt; 400ms (đo 5 lần, cả 5 lần đạt)</t>
  </si>
  <si>
    <t>TC-NFR-002</t>
  </si>
  <si>
    <t>Kiểm tra chọn store và chip Brand phản hồi dưới 400ms</t>
  </si>
  <si>
    <t>Chip: Hermès</t>
  </si>
  <si>
    <t>1. Mở menu Dashboard, vào màn hình Dashboard Doanh thu &amp; Đơn hàng
2. Ghi Performance, bấm chip Hermès, dừng ghi khi KPI cập nhật
3. Ghi Performance, bỏ chọn 1 store, dừng ghi khi KPI cập nhật</t>
  </si>
  <si>
    <t>2. &lt; 400ms
3. &lt; 400ms (mỗi thao tác đo 5 lần)</t>
  </si>
  <si>
    <t>TC-NFR-003</t>
  </si>
  <si>
    <t>Kiểm tra tìm kiếm, sắp xếp, phân trang bảng phản hồi dưới 400ms</t>
  </si>
  <si>
    <t>1. Mở menu Dashboard, vào màn hình Dashboard Doanh thu &amp; Đơn hàng
2. Đo thời gian gõ chopard đến khi bảng lọc xong
3. Đo thời gian bấm tiêu đề cột Sales đến khi sắp xong
4. Đo thời gian bấm trang 2 đến khi hiển thị</t>
  </si>
  <si>
    <t>2. &lt; 400ms
3. &lt; 400ms
4. &lt; 400ms</t>
  </si>
  <si>
    <t>TC-NFR-004</t>
  </si>
  <si>
    <t>REQ-UI-07</t>
  </si>
  <si>
    <t>Kiểm tra bố cục ở cửa sổ 1280px: sidebar đầy đủ, KPI 4 cột, biểu đồ và xếp hạng cạnh nhau</t>
  </si>
  <si>
    <t>Compatibility</t>
  </si>
  <si>
    <t>1. Theo SETUP-01: đăng nhập U-CRM
2. Theo SETUP-09: Device toolbar</t>
  </si>
  <si>
    <t>Chiều rộng: 1280px</t>
  </si>
  <si>
    <t>1. Mở menu Dashboard, vào màn hình Dashboard Doanh thu &amp; Đơn hàng
2. Đặt chiều rộng 1280px</t>
  </si>
  <si>
    <t>2. Sidebar có icon + chữ; mỗi nhóm KPI 4 thẻ trên 1 hàng; biểu đồ Sales và xếp hạng nằm cạnh nhau; không thanh cuộn ngang</t>
  </si>
  <si>
    <t>TC-NFR-005</t>
  </si>
  <si>
    <t>Kiểm tra bố cục ở 1279px và 768px: sidebar thu về icon, KPI 2 cột, biểu đồ xếp 1 cột</t>
  </si>
  <si>
    <t>Chiều rộng: 1279px; 768px</t>
  </si>
  <si>
    <t>1. Mở menu Dashboard, vào màn hình Dashboard Doanh thu &amp; Đơn hàng
2. Đặt chiều rộng 1279px
3. Đặt chiều rộng 768px</t>
  </si>
  <si>
    <t>2. Sidebar chỉ còn icon; KPI 2 thẻ mỗi hàng; biểu đồ Sales và xếp hạng xếp chồng 1 cột
3. Bố cục như bước 2, không thanh cuộn ngang</t>
  </si>
  <si>
    <t>TC-NFR-006</t>
  </si>
  <si>
    <t>REQ-UI-06</t>
  </si>
  <si>
    <t>Kiểm tra mọi phần tử bấm được có hover state</t>
  </si>
  <si>
    <t>Usability</t>
  </si>
  <si>
    <t>1. Mở menu Dashboard, vào màn hình Dashboard Doanh thu &amp; Đơn hàng
2. Rê chuột qua preset kỳ, nút thuế, bộ chọn Store, nút Ngày/Tuần/Tháng, Top 10/Bottom 10, tab bảng, tiêu đề cột, nút phân trang</t>
  </si>
  <si>
    <t>2. Mỗi phần tử đổi hình thức khi hover (nền/viền/con trỏ tay)</t>
  </si>
  <si>
    <t>TC-NFR-007</t>
  </si>
  <si>
    <t>Kiểm tra điều hướng bằng phím Tab có focus ring rõ trên từng phần tử</t>
  </si>
  <si>
    <t>Accessibility</t>
  </si>
  <si>
    <t>1. Mở menu Dashboard, vào màn hình Dashboard Doanh thu &amp; Đơn hàng
2. Nhấn Tab lần lượt từ đầu trang tới bảng breakdown
3. Nhấn Enter/Space trên nút Trước thuế khi đang focus</t>
  </si>
  <si>
    <t>1. Mỗi phần tử nhận focus có vòng focus nhìn rõ; thứ tự focus theo bố cục từ trên xuống
2. Cách nhìn thuế đổi sang Trước thuế</t>
  </si>
  <si>
    <t>TC-NFR-008</t>
  </si>
  <si>
    <t>Kiểm tra tooltip hiện khi focus bằng bàn phím (icon i, cột biểu đồ, nút đơn vị bị khoá)</t>
  </si>
  <si>
    <t>1. Mở menu Dashboard, vào màn hình Dashboard Doanh thu &amp; Đơn hàng
2. Bấm "Tháng trước"; dùng Tab focus icon i của thẻ Sales
3. Tab tới cột biểu đồ
4. Tab tới nút Tháng (bị khoá)</t>
  </si>
  <si>
    <t>1. Tooltip giải thích công thức hiện
2. Tooltip cột hiện khoảng ngày, Sales, Transactions, Hoàn trả
3. Tooltip "Không khả dụng với kỳ đang chọn" hiện</t>
  </si>
  <si>
    <t>TC-NFR-009</t>
  </si>
  <si>
    <t>Kiểm tra trạng thái cột biểu đồ phân biệt được khi không có màu (mô phỏng mù màu/grayscale)</t>
  </si>
  <si>
    <t>1. Theo SETUP-01: đăng nhập U-CRM
2. Theo SETUP-07: môi trường có dữ liệu ~100 store
3. Theo SETUP-09: Rendering → Emulate vision deficiencies = Achromatopsia</t>
  </si>
  <si>
    <t>Kỳ: Tháng này, đơn vị Tuần</t>
  </si>
  <si>
    <t>1. Mở menu Dashboard, vào màn hình Dashboard Doanh thu &amp; Đơn hàng
2. Bấm "Tháng này", bấm nút Tuần
3. Bật mô phỏng Achromatopsia</t>
  </si>
  <si>
    <t>3. Cột Chưa kết thúc vẫn nhận biết bằng sọc chéo + viền nét đứt; cột cao nhất bằng viền; cột Bị cắt khác cột Đủ kỳ</t>
  </si>
  <si>
    <t>Tổng hợp — DASHBOARD-DOANH-THU</t>
  </si>
  <si>
    <t>Số lượng</t>
  </si>
  <si>
    <t>Blocked</t>
  </si>
  <si>
    <t>Fail</t>
  </si>
  <si>
    <t>Obsolete</t>
  </si>
  <si>
    <t>Pass</t>
  </si>
  <si>
    <t>Skipped</t>
  </si>
  <si>
    <t>Needs Clarification</t>
  </si>
  <si>
    <t>Tổng</t>
  </si>
  <si>
    <t>Mô tả</t>
  </si>
  <si>
    <t>Số TC</t>
  </si>
  <si>
    <t>Test cases</t>
  </si>
  <si>
    <t>Trạng thái</t>
  </si>
  <si>
    <t>Xác định sản phẩm &amp; Brand từng dòng trên bill</t>
  </si>
  <si>
    <t>TC-INC-001, TC-INC-032</t>
  </si>
  <si>
    <t>Covered</t>
  </si>
  <si>
    <t>Discount Threshold Gate theo từng dòng (BR-INC-001)</t>
  </si>
  <si>
    <t>TC-INC-002, TC-INC-003, TC-INC-004, TC-INC-005, TC-INC-006, TC-INC-007, TC-INC-008, TC-INC-009</t>
  </si>
  <si>
    <t>Khách có PIC hay không; B2B; chia đều khi không có PIC (BR-INC-002)</t>
  </si>
  <si>
    <t>TC-INC-010, TC-INC-011, TC-INC-012, TC-INC-013, TC-INC-014, TC-INC-015, TC-INC-031</t>
  </si>
  <si>
    <t>Tỷ lệ chia theo Brand Config: PIC / Other CA (BR-INC-003, 004)</t>
  </si>
  <si>
    <t>TC-INC-015, TC-INC-016, TC-INC-017, TC-INC-018, TC-INC-019, TC-INC-020, TC-INC-021, TC-INC-022, TC-INC-023, TC-INC-024, TC-INC-025, TC-INC-032</t>
  </si>
  <si>
    <t>Tổng hợp Incentive theo nhân viên theo kỳ (BR-INC-005)</t>
  </si>
  <si>
    <t>TC-INC-009, TC-INC-012, TC-INC-026, TC-INC-027, TC-INC-028, TC-INC-029</t>
  </si>
  <si>
    <t>Phạm vi dữ liệu theo Position Rule, kỳ lọc, tập đơn sale_in_scope / return_in_scope (BR-SPM-001, 002)</t>
  </si>
  <si>
    <t>TC-SCOPE-001, TC-SCOPE-002, TC-SCOPE-003, TC-SCOPE-004, TC-SCOPE-005, TC-SCOPE-006, TC-SCOPE-007, TC-SCOPE-008, TC-SCOPE-009, TC-SCOPE-010, TC-SCOPE-011, TC-SCOPE-012, TC-SCOPE-013, TC-SCOPE-014, TC-SCOPE-015, TC-SCOPE-016, TC-SCOPE-018, TC-SCOPE-020, TC-SCOPE-021, TC-SCOPE-022, TC-SCOPE-023, TC-SALES-003, TC-TABLE-016</t>
  </si>
  <si>
    <t>Sales sau thuế / trước thuế (BR-SPM-003, 004, 014)</t>
  </si>
  <si>
    <t>TC-SALES-001, TC-SALES-002, TC-SALES-003, TC-SALES-004, TC-SALES-005, TC-SALES-006, TC-SALES-007, TC-SALES-008, TC-SALES-009, TC-SALES-010, TC-SALES-011, TC-SALES-012, TC-SALES-013, TC-SALES-014, TC-SALES-015, TC-SALES-016, TC-SALES-017</t>
  </si>
  <si>
    <t>Transactions (REQ-BSP-03; BR-SPM-005, 006)</t>
  </si>
  <si>
    <t>TC-SCOPE-007, TC-TRX-001, TC-TRX-002, TC-TRX-003, TC-TRX-004, TC-DISP-001</t>
  </si>
  <si>
    <t>Frequency (REQ-BSP-04; BR-SPM-012)</t>
  </si>
  <si>
    <t>TC-FREQ-001, TC-FREQ-002, TC-FREQ-003, TC-FREQ-004, TC-FREQ-005, TC-DISP-001</t>
  </si>
  <si>
    <t>Coupon % (REQ-BSP-05; BR-SPM-008, 008a)</t>
  </si>
  <si>
    <t>TC-CPN-001, TC-CPN-002, TC-CPN-003, TC-DISP-001</t>
  </si>
  <si>
    <t>AOV sau thuế / trước thuế (REQ-BSP-06; BR-SPM-009, 010)</t>
  </si>
  <si>
    <t>TC-AOV-001, TC-AOV-002, TC-AOV-003, TC-AOV-004, TC-AOV-005, TC-AOV-006, TC-AOV-007</t>
  </si>
  <si>
    <t>UPT (REQ-BSP-07; BR-SPM-011)</t>
  </si>
  <si>
    <t>TC-UPT-001, TC-UPT-002, TC-UPT-003, TC-UPT-004, TC-UPT-005, TC-DISP-001</t>
  </si>
  <si>
    <t>Avg Spending/Customer sau thuế / trước thuế (REQ-BSP-08; BR-SPM-013)</t>
  </si>
  <si>
    <t>TC-FREQ-004, TC-AVGS-001, TC-AVGS-002, TC-AVGS-003, TC-AVGS-004, TC-AVGS-005, TC-AVGS-006, TC-AVGS-007, TC-DISP-001</t>
  </si>
  <si>
    <t>Quy tắc hiển thị chung: chia 0, định dạng số, nhãn giải thích, snapshot thuế</t>
  </si>
  <si>
    <t>TC-FLT-012, TC-SCOPE-019, TC-SALES-004, TC-DISP-001, TC-DISP-002, TC-DISP-003, TC-DISP-004, TC-DISP-005, TC-DISP-006, TC-DISP-007, TC-DISP-010, TC-DISP-012, TC-TABLE-011, TC-TABLE-012</t>
  </si>
  <si>
    <t>Biểu đồ Sales theo thời gian Ngày/Tuần/Tháng (BR-SPM-015…019) + Logic hiển thị PRD</t>
  </si>
  <si>
    <t>TC-CHART-001, TC-CHART-002, TC-CHART-003, TC-CHART-004, TC-CHART-005, TC-CHART-006, TC-CHART-007, TC-CHART-008, TC-CHART-009, TC-CHART-010, TC-CHART-011, TC-CHART-012, TC-CHART-013, TC-CHART-014, TC-CHART-015, TC-CHART-016, TC-CHART-017, TC-CHART-018, TC-CHART-019, TC-CHART-020, TC-CHART-021, TC-CHART-022, TC-CHART-023, TC-CHART-024, TC-CHART-025, TC-CHART-026, TC-CHART-027, TC-CHART-028, TC-CHART-029, TC-CHART-030, TC-CHART-031, TC-CHART-032, TC-CHART-033, TC-CHART-034, TC-CHART-035, TC-CHART-036, TC-CHART-037, TC-CHART-038, TC-CHART-039, TC-CHART-040, TC-CHART-041, TC-CHART-042, TC-CHART-043, TC-CHART-044, TC-CHART-045, TC-CHART-046, TC-CHART-047, TC-CHART-048, TC-CHART-049, TC-CHART-050, TC-CHART-051, TC-NFR-009</t>
  </si>
  <si>
    <t>Hiển thị quy mô ~100 store: bộ chọn store, lọc Client Advisor, xếp hạng Top/Bottom, bảng breakdown (BR-SPM-020…023)</t>
  </si>
  <si>
    <t>TC-SCOPE-015, TC-SCOPE-017, TC-SCOPE-021, TC-CHART-049, TC-STORE-001, TC-STORE-002, TC-STORE-003, TC-STORE-004, TC-STORE-005, TC-STORE-006, TC-STORE-007, TC-STORE-008, TC-STORE-009, TC-STORE-010, TC-STORE-011, TC-STORE-012, TC-RANK-001, TC-RANK-002, TC-RANK-003, TC-RANK-004, TC-RANK-005, TC-RANK-006, TC-TABLE-001, TC-TABLE-002, TC-TABLE-003, TC-TABLE-004, TC-TABLE-005, TC-TABLE-006, TC-TABLE-007, TC-TABLE-008, TC-TABLE-009, TC-TABLE-010, TC-TABLE-011, TC-TABLE-013, TC-TABLE-014, TC-TABLE-015, TC-TABLE-016, TC-TABLE-017, TC-TABLE-018</t>
  </si>
  <si>
    <t>NFR-INC-001</t>
  </si>
  <si>
    <t>Điều chỉnh Incentive khi bill bị huỷ/hoàn trả</t>
  </si>
  <si>
    <t>N/A</t>
  </si>
  <si>
    <t>Incentive truy vết được về đúng bill/dòng gốc từ HUB</t>
  </si>
  <si>
    <t>Chọn store, tìm kiếm, sắp xếp, phân trang, đổi thuế phản hồi dưới 400ms</t>
  </si>
  <si>
    <t>TC-NFR-001, TC-NFR-002, TC-NFR-003</t>
  </si>
  <si>
    <t>Định dạng JSONL migrate dữ liệu hoa hồng: bỏ qua đơn trả, bung salerep_ids, giá trị theo dòng đơn</t>
  </si>
  <si>
    <t>TC-MIG-001, TC-MIG-002, TC-MIG-003</t>
  </si>
  <si>
    <t>Bộ lọc Kỳ xem (5 preset) + Từ ngày – Đến ngày (lịch chọn khoảng, tối đa 366 ngày, báo lỗi giữ kỳ cũ)</t>
  </si>
  <si>
    <t>TC-FLT-001, TC-FLT-002, TC-FLT-003, TC-FLT-004, TC-FLT-005, TC-FLT-006, TC-FLT-007, TC-FLT-008, TC-FLT-009, TC-FLT-010</t>
  </si>
  <si>
    <t>Bộ chuyển Giá trị tiền Sau thuế/Trước thuế; thẻ KPI tiền có nhãn thuế, số đầy đủ, dòng phụ số còn lại, icon i</t>
  </si>
  <si>
    <t>TC-FLT-001, TC-FLT-011, TC-DISP-007, TC-DISP-008, TC-DISP-009, TC-DISP-010, TC-DISP-011</t>
  </si>
  <si>
    <t>Cảnh báo động: đơn trả cross-period; đơn VAT = 0 khi xem trước thuế</t>
  </si>
  <si>
    <t>TC-ALERT-001, TC-ALERT-002, TC-ALERT-003, TC-ALERT-004, TC-ALERT-005</t>
  </si>
  <si>
    <t>Hai nhóm thẻ KPI: Doanh thu và giao dịch (4 thẻ), Chỉ số bình quân (4 thẻ)</t>
  </si>
  <si>
    <t>REQ-UI-05</t>
  </si>
  <si>
    <t>Vai trò Cá nhân: chỉ biểu đồ thời gian, không xếp hạng; bảng thay bằng thẻ giải thích</t>
  </si>
  <si>
    <t>Hover state, focus ring, tooltip hiện cả khi focus bàn phím</t>
  </si>
  <si>
    <t>TC-NFR-006, TC-NFR-007, TC-NFR-008</t>
  </si>
  <si>
    <t>Breakpoint ≥1280px; 768–1279px thu sidebar về icon, KPI 2 cột, biểu đồ 1 cột</t>
  </si>
  <si>
    <t>TC-NFR-004, TC-NFR-005</t>
  </si>
  <si>
    <t>Cond_ID</t>
  </si>
  <si>
    <t>Điều kiện kiểm thử</t>
  </si>
  <si>
    <t>Kỹ thuật</t>
  </si>
  <si>
    <t>CO-01</t>
  </si>
  <si>
    <t>REQ-UI-01; REQ-UI-02</t>
  </si>
  <si>
    <t>Khối bộ lọc có đủ 5 preset, Từ ngày – Đến ngày, Store, Client Advisor, Giá trị tiền</t>
  </si>
  <si>
    <t>CO-02</t>
  </si>
  <si>
    <t>Preset Hôm nay → kỳ 1 ngày là hôm nay</t>
  </si>
  <si>
    <t>CO-03</t>
  </si>
  <si>
    <t>Preset Tuần này → Thứ Hai tuần hiện tại đến hôm nay</t>
  </si>
  <si>
    <t>CO-04</t>
  </si>
  <si>
    <t>Preset Tháng này → ngày 01 đến hôm nay</t>
  </si>
  <si>
    <t>CO-05</t>
  </si>
  <si>
    <t>Preset Tháng trước → trọn tháng dương lịch trước</t>
  </si>
  <si>
    <t>CO-06</t>
  </si>
  <si>
    <t>Preset Năm này → 01/01 đến hôm nay</t>
  </si>
  <si>
    <t>CO-07</t>
  </si>
  <si>
    <t>Chọn khoảng Từ ngày – Đến ngày hợp lệ → mọi khối tính theo kỳ mới</t>
  </si>
  <si>
    <t>CO-08</t>
  </si>
  <si>
    <t>Khoảng 366 ngày (biên trên) được chấp nhận</t>
  </si>
  <si>
    <t>CO-09</t>
  </si>
  <si>
    <t>Khoảng 367 ngày bị chặn: báo lỗi, giữ kỳ cũ</t>
  </si>
  <si>
    <t>CO-10</t>
  </si>
  <si>
    <t>Kỳ mặc định khi mở dashboard</t>
  </si>
  <si>
    <t>CO-11</t>
  </si>
  <si>
    <t>Cách nhìn thuế mặc định khi mở dashboard</t>
  </si>
  <si>
    <t>CO-12</t>
  </si>
  <si>
    <t>Đổi thuế không tải lại dữ liệu, hai cách nhìn cùng snapshot</t>
  </si>
  <si>
    <t>CO-13</t>
  </si>
  <si>
    <t>SM 2 store: số liệu chỉ gồm ST1 + ST2, không có ST3</t>
  </si>
  <si>
    <t>CO-14</t>
  </si>
  <si>
    <t>SM chọn riêng ST2: mọi chỉ số chỉ trên ST2</t>
  </si>
  <si>
    <t>CO-15</t>
  </si>
  <si>
    <t>Client Advisor chỉ thấy bill mình đứng tên, không thấy số store/người khác</t>
  </si>
  <si>
    <t>CO-16</t>
  </si>
  <si>
    <t>Bill 2 CA: mỗi người thấy trọn bill, tổng CA &gt; store</t>
  </si>
  <si>
    <t>CO-17</t>
  </si>
  <si>
    <t>CRM Team thấy toàn Tam Sơn, khớp tổng truy vấn đối soát</t>
  </si>
  <si>
    <t>CO-18</t>
  </si>
  <si>
    <t>Tài khoản nhiều Position nhận phạm vi lớn nhất</t>
  </si>
  <si>
    <t>CO-19</t>
  </si>
  <si>
    <t>FR-SPM-001; FR-SPM-003</t>
  </si>
  <si>
    <t>Đơn VO không vào Sales/Transactions</t>
  </si>
  <si>
    <t>CO-20</t>
  </si>
  <si>
    <t>Đơn nháp/đang xử lý không vào Sales/Transactions</t>
  </si>
  <si>
    <t>CO-21</t>
  </si>
  <si>
    <t>Đơn ecom không vào phạm vi store nào</t>
  </si>
  <si>
    <t>CO-22</t>
  </si>
  <si>
    <t>Đơn ecom không tính ở Toàn Tam Sơn</t>
  </si>
  <si>
    <t>CO-23</t>
  </si>
  <si>
    <t>Đơn hoàn tất 23:50 ngày cuối kỳ (UTC+7) thuộc kỳ</t>
  </si>
  <si>
    <t>CO-24</t>
  </si>
  <si>
    <t>Đơn hoàn tất 00:00 ngày sau kỳ (UTC+7) không thuộc kỳ</t>
  </si>
  <si>
    <t>CO-25</t>
  </si>
  <si>
    <t>Gọi API với store ngoài phạm vi bị từ chối</t>
  </si>
  <si>
    <t>CO-26</t>
  </si>
  <si>
    <t>Client Advisor gọi API lấy số store/CA khác bị từ chối</t>
  </si>
  <si>
    <t>CO-27</t>
  </si>
  <si>
    <t>FR-SPM-001; FR-SPM-011</t>
  </si>
  <si>
    <t>Bộ chọn store không liệt kê/không tìm được store ngoài phạm vi</t>
  </si>
  <si>
    <t>CO-28</t>
  </si>
  <si>
    <t>Đơn list_employees = [] có ở mức store, không ở mức Cá nhân</t>
  </si>
  <si>
    <t>CO-29</t>
  </si>
  <si>
    <t>REQ-UI-05; FR-SPM-011</t>
  </si>
  <si>
    <t>Giao diện vai trò Cá nhân: không xếp hạng, bảng thay bằng thẻ giải thích</t>
  </si>
  <si>
    <t>CO-30</t>
  </si>
  <si>
    <t>Đăng xuất, đăng nhập vai trò khác không giữ phạm vi cũ</t>
  </si>
  <si>
    <t>CO-31</t>
  </si>
  <si>
    <t>Đơn về chậm từ HUB thuộc kỳ cũ làm số kỳ cũ thay đổi</t>
  </si>
  <si>
    <t>CO-32</t>
  </si>
  <si>
    <t>Sales sau thuế = Σ total bán − Σ total trả trên Bộ ST1-D</t>
  </si>
  <si>
    <t>CO-33</t>
  </si>
  <si>
    <t>Sales trước thuế = sau thuế − (Σ tax bán − Σ tax trả)</t>
  </si>
  <si>
    <t>CO-34</t>
  </si>
  <si>
    <t>FR-SPM-002; FR-SPM-001</t>
  </si>
  <si>
    <t>Đơn trả cross-period trừ ở kỳ ngày trả, kỳ đơn bán giữ nguyên</t>
  </si>
  <si>
    <t>CO-35</t>
  </si>
  <si>
    <t>FR-SPM-002; FR-SPM-009</t>
  </si>
  <si>
    <t>Kỳ chỉ có đơn trả → Sales âm, dấu −, màu Error</t>
  </si>
  <si>
    <t>CO-36</t>
  </si>
  <si>
    <t>Header subtotal = 0, tax = 0, total &gt; 0 → dùng total, log thiếu VAT</t>
  </si>
  <si>
    <t>CO-37</t>
  </si>
  <si>
    <t>Đơn đã tính chuyển VO → tự rời khỏi Sales</t>
  </si>
  <si>
    <t>CO-38</t>
  </si>
  <si>
    <t>Đơn trả toàn bộ cùng kỳ đóng góp 0 hai cách nhìn</t>
  </si>
  <si>
    <t>CO-39</t>
  </si>
  <si>
    <t>Đơn thật 12 525 500 / tax 1 138 682 → sau thuế 12 525 500, trước thuế 11 386 818</t>
  </si>
  <si>
    <t>CO-40</t>
  </si>
  <si>
    <t>Đơn giảm giá: trước thuế 11 000 000, không phải subtotal</t>
  </si>
  <si>
    <t>CO-41</t>
  </si>
  <si>
    <t>Đơn 2 thuế suất: trước thuế 15 000 000, không phải 14 909 091</t>
  </si>
  <si>
    <t>CO-42</t>
  </si>
  <si>
    <t>Đơn trả 5 400 000 / tax 400 000 → −5 400 000 / −5 000 000</t>
  </si>
  <si>
    <t>CO-43</t>
  </si>
  <si>
    <t>Đơn 0đ không làm đổi Sales hai cách nhìn</t>
  </si>
  <si>
    <t>CO-44</t>
  </si>
  <si>
    <t>Lệch công thức header đúng 1đ → không ghi log</t>
  </si>
  <si>
    <t>CO-45</t>
  </si>
  <si>
    <t>Lệch công thức header 2đ → ghi log, số theo total ERP</t>
  </si>
  <si>
    <t>CO-46</t>
  </si>
  <si>
    <t>tax_total lớn hơn total → ghi log, số theo ERP</t>
  </si>
  <si>
    <t>CO-47</t>
  </si>
  <si>
    <t>Đơn khách B2B tính vào Sales</t>
  </si>
  <si>
    <t>CO-48</t>
  </si>
  <si>
    <t>Bộ ST1-D: Transactions = 5 gồm đơn khách lẻ</t>
  </si>
  <si>
    <t>CO-49</t>
  </si>
  <si>
    <t>Đơn 6 dòng 3 nhân viên đóng góp đúng 1</t>
  </si>
  <si>
    <t>CO-50</t>
  </si>
  <si>
    <t>Đơn trả toàn bộ vẫn đếm 1</t>
  </si>
  <si>
    <t>CO-51</t>
  </si>
  <si>
    <t>Đơn 0đ đếm vào Transactions</t>
  </si>
  <si>
    <t>CO-52</t>
  </si>
  <si>
    <t>Bộ ST1-D: Frequency = 5 ÷ 4 = 1.25</t>
  </si>
  <si>
    <t>CO-53</t>
  </si>
  <si>
    <t>Khách lẻ chung 3 đơn + K1 1 đơn → 2.00</t>
  </si>
  <si>
    <t>CO-54</t>
  </si>
  <si>
    <t>Khách chỉ có đơn trả không vào mẫu số Frequency</t>
  </si>
  <si>
    <t>CO-55</t>
  </si>
  <si>
    <t>FR-SPM-004; FR-SPM-008</t>
  </si>
  <si>
    <t>Mẫu số = Total Customers của FR-CSD-002 (dashboard Khách hàng)</t>
  </si>
  <si>
    <t>CO-56</t>
  </si>
  <si>
    <t>Khách chỉ có đơn 0đ có 1 transaction</t>
  </si>
  <si>
    <t>CO-57</t>
  </si>
  <si>
    <t>Bộ ST1-D: Coupon % = 40.0% (đơn 3 mã đếm 1; giảm giá không mã không tính)</t>
  </si>
  <si>
    <t>CO-58</t>
  </si>
  <si>
    <t>Đơn coupon 100% vào cả tử và mẫu</t>
  </si>
  <si>
    <t>CO-59</t>
  </si>
  <si>
    <t>Đơn có coupon trả toàn bộ vẫn ở tử và mẫu</t>
  </si>
  <si>
    <t>CO-60</t>
  </si>
  <si>
    <t>Bộ ST1-D: AOV sau thuế = 8 520 000</t>
  </si>
  <si>
    <t>CO-61</t>
  </si>
  <si>
    <t>AOV trước thuế = Sales trước thuế ÷ 5, ≤ AOV sau thuế</t>
  </si>
  <si>
    <t>CO-62</t>
  </si>
  <si>
    <t>Đơn trả kỳ trước kéo AOV về 0</t>
  </si>
  <si>
    <t>CO-63</t>
  </si>
  <si>
    <t>Kỳ chỉ có đơn trả → AOV —</t>
  </si>
  <si>
    <t>CO-64</t>
  </si>
  <si>
    <t>AOV × Transactions = Sales (dữ liệu thật)</t>
  </si>
  <si>
    <t>CO-65</t>
  </si>
  <si>
    <t>AOV âm khi Sales âm</t>
  </si>
  <si>
    <t>CO-66</t>
  </si>
  <si>
    <t>Đơn 0đ kéo AOV xuống</t>
  </si>
  <si>
    <t>CO-67</t>
  </si>
  <si>
    <t>Bộ ST1-D: UPT = 9 ÷ 5 = 1.80 (trừ đơn trả, không cộng dòng giảm giá)</t>
  </si>
  <si>
    <t>CO-68</t>
  </si>
  <si>
    <t>Dòng phí ship không cộng vào net_qty</t>
  </si>
  <si>
    <t>CO-69</t>
  </si>
  <si>
    <t>Dòng dịch vụ khắc tên không cộng vào net_qty</t>
  </si>
  <si>
    <t>CO-70</t>
  </si>
  <si>
    <t>Đơn 0đ góp số lượng và +1 mẫu số</t>
  </si>
  <si>
    <t>CO-71</t>
  </si>
  <si>
    <t>UPT âm khi số lượng trả &gt; bán</t>
  </si>
  <si>
    <t>CO-72</t>
  </si>
  <si>
    <t>Bộ ST1-D: Avg Spending sau thuế = 10 650 000</t>
  </si>
  <si>
    <t>CO-73</t>
  </si>
  <si>
    <t>Avg Spending trước thuế = Sales trước thuế ÷ 4</t>
  </si>
  <si>
    <t>CO-74</t>
  </si>
  <si>
    <t>Khách trả toàn bộ vẫn ở mẫu số</t>
  </si>
  <si>
    <t>CO-75</t>
  </si>
  <si>
    <t>Khách chỉ có đơn trả không ở mẫu số, khoản hoàn vẫn trừ tử số</t>
  </si>
  <si>
    <t>CO-76</t>
  </si>
  <si>
    <t>Khách chỉ có đơn 0đ ở mẫu số</t>
  </si>
  <si>
    <t>CO-77</t>
  </si>
  <si>
    <t>Gộp ST1 + ST2: khách K1 mua 2 store đếm 1</t>
  </si>
  <si>
    <t>CO-78</t>
  </si>
  <si>
    <t>Avg Spending = Frequency × AOV (dữ liệu thật)</t>
  </si>
  <si>
    <t>CO-79</t>
  </si>
  <si>
    <t>FR-SPM-009; FR-SPM-003; FR-SPM-004; FR-SPM-005; FR-SPM-007; FR-SPM-008</t>
  </si>
  <si>
    <t>Kỳ không có đơn: tỷ lệ hiển thị —, đếm/tiền hiển thị 0, cả hai cách nhìn</t>
  </si>
  <si>
    <t>CO-80</t>
  </si>
  <si>
    <t>UPT, Frequency hiển thị 2 chữ số lẻ (1.80, 1.25)</t>
  </si>
  <si>
    <t>CO-81</t>
  </si>
  <si>
    <t>Coupon % 66.666…% hiển thị 66.7%</t>
  </si>
  <si>
    <t>CO-82</t>
  </si>
  <si>
    <t>Tiền tách nghìn bằng khoảng trắng (8 520 000)</t>
  </si>
  <si>
    <t>CO-83</t>
  </si>
  <si>
    <t>Giá trị 950 hiển thị 950 không tách nhóm</t>
  </si>
  <si>
    <t>CO-84</t>
  </si>
  <si>
    <t>Giá trị gốc ,5 làm tròn half-up ở bước hiển thị</t>
  </si>
  <si>
    <t>CO-85</t>
  </si>
  <si>
    <t>FR-SPM-009; REQ-UI-02</t>
  </si>
  <si>
    <t>Mọi số tiền (thẻ, bảng, biểu đồ) có nhãn Sau thuế/Trước thuế</t>
  </si>
  <si>
    <t>CO-86</t>
  </si>
  <si>
    <t>Thẻ KPI tiền hiển thị số đầy đủ, không viết tắt</t>
  </si>
  <si>
    <t>CO-87</t>
  </si>
  <si>
    <t>Thẻ KPI tiền có dòng phụ ghi giá trị cách nhìn thuế còn lại</t>
  </si>
  <si>
    <t>CO-88</t>
  </si>
  <si>
    <t>Đổi thuế không đổi Transactions, Frequency, Coupon %, UPT</t>
  </si>
  <si>
    <t>CO-89</t>
  </si>
  <si>
    <t>Mỗi thẻ có icon i giải thích công thức</t>
  </si>
  <si>
    <t>CO-90</t>
  </si>
  <si>
    <t>Nhãn giải thích Sales/Transactions/Frequency/Avg Spending</t>
  </si>
  <si>
    <t>CO-91</t>
  </si>
  <si>
    <t>Hai nhóm KPI 4 thẻ đúng tên</t>
  </si>
  <si>
    <t>CO-92</t>
  </si>
  <si>
    <t>Kỳ có đơn trả của đơn bán kỳ trước → cảnh báo Cross-period</t>
  </si>
  <si>
    <t>CO-93</t>
  </si>
  <si>
    <t>Kỳ không có đơn trả cross-period → không có cảnh báo</t>
  </si>
  <si>
    <t>CO-94</t>
  </si>
  <si>
    <t>Xem Trước thuế, kỳ có đơn VAT = 0 → cảnh báo</t>
  </si>
  <si>
    <t>CO-95</t>
  </si>
  <si>
    <t>Xem Sau thuế cùng kỳ → không có cảnh báo VAT = 0</t>
  </si>
  <si>
    <t>CO-96</t>
  </si>
  <si>
    <t>Tháng này: Ngày tự chọn, cột hôm nay Chưa kết thúc</t>
  </si>
  <si>
    <t>TC-CHART-001, TC-CHART-006</t>
  </si>
  <si>
    <t>CO-97</t>
  </si>
  <si>
    <t>Kỳ 01/09–30/09/2026 đơn vị Ngày: 30 cột Đủ kỳ, nền T7/CN, nhãn dd/mm</t>
  </si>
  <si>
    <t>CO-98</t>
  </si>
  <si>
    <t>Kỳ 01/09–30/09/2026 đơn vị Tuần: 5 cột, 2 cột Bị cắt, không nền T7/CN</t>
  </si>
  <si>
    <t>CO-99</t>
  </si>
  <si>
    <t>Kỳ 11/10–12/10/2026 (CN–T2) đơn vị Tuần: 2 cột đều Bị cắt, không Chưa kết thúc</t>
  </si>
  <si>
    <t>CO-100</t>
  </si>
  <si>
    <t>Kỳ 74 ngày kết thúc hôm nay: Tuần tự chọn, tuần cuối vừa cắt vừa chưa kết thúc → sọc</t>
  </si>
  <si>
    <t>CO-101</t>
  </si>
  <si>
    <t>Kỳ 1 ngày: không vẽ, thông báo nguyên văn, 3 nút khoá</t>
  </si>
  <si>
    <t>CO-102</t>
  </si>
  <si>
    <t>Kỳ 31 ngày → tự chọn Ngày</t>
  </si>
  <si>
    <t>CO-103</t>
  </si>
  <si>
    <t>Kỳ 32 ngày → tự chọn Tuần; Ngày vẫn bấm được</t>
  </si>
  <si>
    <t>CO-104</t>
  </si>
  <si>
    <t>Kỳ 120 ngày → tự chọn Tuần</t>
  </si>
  <si>
    <t>CO-105</t>
  </si>
  <si>
    <t>Kỳ 121 ngày → tự chọn Tháng</t>
  </si>
  <si>
    <t>CO-106</t>
  </si>
  <si>
    <t>Kỳ 62 ngày → Ngày bấm được (62 cột)</t>
  </si>
  <si>
    <t>CO-107</t>
  </si>
  <si>
    <t>Kỳ 63 ngày → Ngày bị khoá</t>
  </si>
  <si>
    <t>CO-108</t>
  </si>
  <si>
    <t>Kỳ chạm 1 tuần lịch, 1 tháng lịch → Tuần, Tháng bị khoá</t>
  </si>
  <si>
    <t>CO-109</t>
  </si>
  <si>
    <t>Kỳ 366 ngày chạm 53 tuần → Tuần bấm được</t>
  </si>
  <si>
    <t>CO-110</t>
  </si>
  <si>
    <t>Kỳ 366 ngày chạm 54 tuần → Tuần bị khoá</t>
  </si>
  <si>
    <t>CO-111</t>
  </si>
  <si>
    <t>Kỳ 2 ngày vắt 2 tháng → Tháng bấm được, Tuần khoá</t>
  </si>
  <si>
    <t>CO-112</t>
  </si>
  <si>
    <t>Kỳ chạm 13 tháng: Tháng tự chọn, nhãn Tn/yy, cột đầu/cuối Bị cắt</t>
  </si>
  <si>
    <t>CO-113</t>
  </si>
  <si>
    <t>Bấm đơn vị bị khoá: không đổi, tooltip, nút không ẩn</t>
  </si>
  <si>
    <t>CO-114</t>
  </si>
  <si>
    <t>Bấm tay đơn vị khả dụng → Đã chọn tay, nút active</t>
  </si>
  <si>
    <t>CO-115</t>
  </si>
  <si>
    <t>Đổi kỳ, đơn vị tay vẫn khả dụng → giữ</t>
  </si>
  <si>
    <t>CO-116</t>
  </si>
  <si>
    <t>Đổi kỳ, đơn vị tay bị khoá → về Tự chọn</t>
  </si>
  <si>
    <t>CO-117</t>
  </si>
  <si>
    <t>Chọn tay → kỳ 1 ngày → kỳ dài lại: không nhớ lựa chọn tay</t>
  </si>
  <si>
    <t>CO-118</t>
  </si>
  <si>
    <t>Đổi thuế: giá trị cột đổi, đơn vị &amp; trạng thái giữ</t>
  </si>
  <si>
    <t>CO-119</t>
  </si>
  <si>
    <t>Σ Sales, Σ Transactions bucket = KPI</t>
  </si>
  <si>
    <t>CO-120</t>
  </si>
  <si>
    <t>Đơn trả trừ vào bucket ngày trả, không vào bucket ngày bán</t>
  </si>
  <si>
    <t>CO-121</t>
  </si>
  <si>
    <t>Cột âm màu Error, mọc xuống, trục Y có phần âm</t>
  </si>
  <si>
    <t>CO-122</t>
  </si>
  <si>
    <t>Cột cao nhất (&gt; 0) có viền vàng</t>
  </si>
  <si>
    <t>CO-123</t>
  </si>
  <si>
    <t>Hai cột cao nhất bằng nhau → viền vàng cột đầu</t>
  </si>
  <si>
    <t>CO-124</t>
  </si>
  <si>
    <t>Mọi cột = 0: không thân cột, không viền vàng</t>
  </si>
  <si>
    <t>CO-125</t>
  </si>
  <si>
    <t>Cột khác 0 rất nhỏ cao tối thiểu 1px</t>
  </si>
  <si>
    <t>CO-126</t>
  </si>
  <si>
    <t>16 cột → có nhãn giá trị cột cao nhất</t>
  </si>
  <si>
    <t>CO-127</t>
  </si>
  <si>
    <t>17 cột → không có nhãn giá trị</t>
  </si>
  <si>
    <t>CO-128</t>
  </si>
  <si>
    <t>Cột âm + Chưa kết thúc → sọc chéo</t>
  </si>
  <si>
    <t>CO-129</t>
  </si>
  <si>
    <t>Cột âm + Bị cắt → đỏ; cột dương Bị cắt → xám</t>
  </si>
  <si>
    <t>CO-130</t>
  </si>
  <si>
    <t>Cột cao nhất đang chạy: sọc chéo + viền vàng liền</t>
  </si>
  <si>
    <t>CO-131</t>
  </si>
  <si>
    <t>Chú giải &amp; ghi chú đơn vị Ngày kỳ đã khép</t>
  </si>
  <si>
    <t>CO-132</t>
  </si>
  <si>
    <t>Chú giải &amp; ghi chú đơn vị Tuần có Bị cắt + Chưa kết thúc</t>
  </si>
  <si>
    <t>CO-133</t>
  </si>
  <si>
    <t>Trục Y thang Tỷ, mốc 0, khoảng chia đẹp</t>
  </si>
  <si>
    <t>CO-134</t>
  </si>
  <si>
    <t>Trục Y thang Tr có phần âm</t>
  </si>
  <si>
    <t>CO-135</t>
  </si>
  <si>
    <t>Trục Y &lt; 1 triệu hiển thị số đầy đủ</t>
  </si>
  <si>
    <t>CO-136</t>
  </si>
  <si>
    <t>Tuần 10 cột → nhãn dd/mm–dd/mm</t>
  </si>
  <si>
    <t>CO-137</t>
  </si>
  <si>
    <t>Tuần 11 cột → nhãn dd/mm Thứ Hai</t>
  </si>
  <si>
    <t>CO-138</t>
  </si>
  <si>
    <t>Nhãn dày ẩn xen kẽ, không xoay, ≥11px, cột ẩn nhãn vẫn tooltip</t>
  </si>
  <si>
    <t>CO-139</t>
  </si>
  <si>
    <t>Đổi kích thước cửa sổ: vẽ lại theo chiều rộng thật</t>
  </si>
  <si>
    <t>CO-140</t>
  </si>
  <si>
    <t>Tooltip cột Ngày: dd/mm/yyyy (Thứ), Sales, Transactions, Hoàn trả</t>
  </si>
  <si>
    <t>CO-141</t>
  </si>
  <si>
    <t>Tooltip cột Tuần bị cắt: khoảng ngày đã cắt + nhãn</t>
  </si>
  <si>
    <t>CO-142</t>
  </si>
  <si>
    <t>Tooltip cột Chưa kết thúc có nhãn</t>
  </si>
  <si>
    <t>CO-143</t>
  </si>
  <si>
    <t>Tooltip lật sang trái khi sát mép phải</t>
  </si>
  <si>
    <t>CO-144</t>
  </si>
  <si>
    <t>FR-SPM-010; FR-SPM-011</t>
  </si>
  <si>
    <t>Biểu đồ theo Store/Client Advisor đang lọc</t>
  </si>
  <si>
    <t>CO-145</t>
  </si>
  <si>
    <t>Bấm vào đơn vị đang được tự chọn</t>
  </si>
  <si>
    <t>Pending</t>
  </si>
  <si>
    <t>CO-146</t>
  </si>
  <si>
    <t>Kỳ chạm 14 tháng lịch</t>
  </si>
  <si>
    <t>CO-147</t>
  </si>
  <si>
    <t>CRM: mặc định Toàn Tam Sơn · N store; lọc CA bị khoá</t>
  </si>
  <si>
    <t>CO-148</t>
  </si>
  <si>
    <t>Retail Manager Hermès: mặc định chỉ store Hermès, không thêm được store ngoài</t>
  </si>
  <si>
    <t>CO-149</t>
  </si>
  <si>
    <t>Chip Brand Hermès → chỉ store Hermès được chọn, nhãn nút</t>
  </si>
  <si>
    <t>CO-150</t>
  </si>
  <si>
    <t>Tìm store theo tên và theo Brand</t>
  </si>
  <si>
    <t>CO-151</t>
  </si>
  <si>
    <t>Không bỏ được store cuối cùng</t>
  </si>
  <si>
    <t>CO-152</t>
  </si>
  <si>
    <t>Chọn 1 store → nhãn là tên store</t>
  </si>
  <si>
    <t>CO-153</t>
  </si>
  <si>
    <t>Chọn 3 store → nhãn 3 store đã chọn</t>
  </si>
  <si>
    <t>CO-154</t>
  </si>
  <si>
    <t>Nút chọn tất cả và bộ đếm đã chọn / tổng</t>
  </si>
  <si>
    <t>CO-155</t>
  </si>
  <si>
    <t>Thu hẹp ST1 + ST2 → ST1: KPI, biểu đồ, bảng tính lại</t>
  </si>
  <si>
    <t>CO-156</t>
  </si>
  <si>
    <t>6 store → lọc CA khoá + gợi ý</t>
  </si>
  <si>
    <t>CO-157</t>
  </si>
  <si>
    <t>5 store → lọc CA mở, liệt kê CA kèm tên store</t>
  </si>
  <si>
    <t>CO-158</t>
  </si>
  <si>
    <t>Chọn CA-A → số liệu chỉ bill CA-A đứng tên</t>
  </si>
  <si>
    <t>CO-159</t>
  </si>
  <si>
    <t>Đang lọc CA rồi chọn thêm store vượt 5</t>
  </si>
  <si>
    <t>CO-160</t>
  </si>
  <si>
    <t>Top 10: hạng 1–10 giảm dần theo Sales, có Brand</t>
  </si>
  <si>
    <t>CO-161</t>
  </si>
  <si>
    <t>Bottom 10: hạng thực N…N−9 tăng dần từ thấp</t>
  </si>
  <si>
    <t>CO-162</t>
  </si>
  <si>
    <t>Xếp hạng theo cách nhìn thuế đang chọn</t>
  </si>
  <si>
    <t>CO-163</t>
  </si>
  <si>
    <t>Store không phát sinh trong kỳ không được xếp hạng</t>
  </si>
  <si>
    <t>CO-164</t>
  </si>
  <si>
    <t>Store Sales âm (chỉ đơn trả) vẫn được xếp hạng ở cuối</t>
  </si>
  <si>
    <t>CO-165</t>
  </si>
  <si>
    <t>1 store → xếp hạng Client Advisor</t>
  </si>
  <si>
    <t>CO-166</t>
  </si>
  <si>
    <t>Hai store cùng Sales: thứ tự hạng</t>
  </si>
  <si>
    <t>CO-167</t>
  </si>
  <si>
    <t>CRM: tab Theo Store mặc định, trang 1, 15 dòng, từ–đến / tổng</t>
  </si>
  <si>
    <t>CO-168</t>
  </si>
  <si>
    <t>Đổi 30, 50 dòng/trang</t>
  </si>
  <si>
    <t>CO-169</t>
  </si>
  <si>
    <t>Trang cuối hiển thị phần còn lại</t>
  </si>
  <si>
    <t>CO-170</t>
  </si>
  <si>
    <t>Tìm kiếm: cột # giữ hạng thực</t>
  </si>
  <si>
    <t>CO-171</t>
  </si>
  <si>
    <t>Tìm kiếm + đổi trang: dòng Tổng không đổi</t>
  </si>
  <si>
    <t>CO-172</t>
  </si>
  <si>
    <t>Σ Sales, Σ Transactions = Tổng; Σ Total Customers ≥ Tổng</t>
  </si>
  <si>
    <t>CO-173</t>
  </si>
  <si>
    <t>Sắp xếp theo cột: thứ tự và cột # theo thứ tự sắp xếp</t>
  </si>
  <si>
    <t>CO-174</t>
  </si>
  <si>
    <t>1 store → không có tab Theo Store</t>
  </si>
  <si>
    <t>CO-175</t>
  </si>
  <si>
    <t>Phạm vi 1 Brand → không có tab Theo Brand</t>
  </si>
  <si>
    <t>CO-176</t>
  </si>
  <si>
    <t>Phạm vi 2 Brand → tab Theo Brand 2 dòng</t>
  </si>
  <si>
    <t>CO-177</t>
  </si>
  <si>
    <t>FR-SPM-011; FR-SPM-009</t>
  </si>
  <si>
    <t>Tab Theo Client Advisor: Σ dòng &gt; Tổng, ghi chú</t>
  </si>
  <si>
    <t>CO-178</t>
  </si>
  <si>
    <t>Bảng store cấp gộp có ghi chú không cộng dồn Avg/Frequency</t>
  </si>
  <si>
    <t>CO-179</t>
  </si>
  <si>
    <t>Store không phát sinh không có dòng, có ghi chú</t>
  </si>
  <si>
    <t>CO-180</t>
  </si>
  <si>
    <t>Tìm theo Brand trong tab Theo Store</t>
  </si>
  <si>
    <t>CO-181</t>
  </si>
  <si>
    <t>Thanh dữ liệu nền cột Sales</t>
  </si>
  <si>
    <t>CO-182</t>
  </si>
  <si>
    <t>Đổi số dòng/trang khi đang ở trang &gt; 1 thì về trang nào</t>
  </si>
  <si>
    <t>CO-183</t>
  </si>
  <si>
    <t>Bill 2 dòng Hanoia + Hermès: mỗi dòng chia theo Brand của dòng</t>
  </si>
  <si>
    <t>CO-184</t>
  </si>
  <si>
    <t>Discount 20% &lt; Threshold 100% → đủ điều kiện</t>
  </si>
  <si>
    <t>CO-185</t>
  </si>
  <si>
    <t>Discount 100% = Threshold 100% → bị loại</t>
  </si>
  <si>
    <t>CO-186</t>
  </si>
  <si>
    <t>Threshold 30%, Discount 29.99% → đủ điều kiện</t>
  </si>
  <si>
    <t>CO-187</t>
  </si>
  <si>
    <t>Threshold 30%, Discount 30.00% → bị loại</t>
  </si>
  <si>
    <t>CO-188</t>
  </si>
  <si>
    <t>2 dòng cùng Brand X: 15% tính, 40% loại</t>
  </si>
  <si>
    <t>CO-189</t>
  </si>
  <si>
    <t>2 dòng khác Brand: A tính, B loại</t>
  </si>
  <si>
    <t>CO-190</t>
  </si>
  <si>
    <t>Hạ Threshold Brand X không đổi ngưỡng Brand khác</t>
  </si>
  <si>
    <t>CO-191</t>
  </si>
  <si>
    <t>FR-INC-002; FR-INC-005</t>
  </si>
  <si>
    <t>Mọi dòng bị loại → bill không đóng góp Incentive</t>
  </si>
  <si>
    <t>CO-192</t>
  </si>
  <si>
    <t>Không PIC, 2 CA, dòng đủ điều kiện 10 000 000 → mỗi CA 5 000 000</t>
  </si>
  <si>
    <t>CO-193</t>
  </si>
  <si>
    <t>Không PIC, 3 nhân viên → chia đều 1/3</t>
  </si>
  <si>
    <t>CO-194</t>
  </si>
  <si>
    <t>FR-INC-003; FR-INC-005</t>
  </si>
  <si>
    <t>Khách B2B → Incentive N/A, không cộng vào ai</t>
  </si>
  <si>
    <t>CO-195</t>
  </si>
  <si>
    <t>Đổi PIC sau khi bill phát sinh → giữ PIC tại thời điểm bill</t>
  </si>
  <si>
    <t>CO-196</t>
  </si>
  <si>
    <t>Khách có PIC ở store khác store bill → coi như không PIC</t>
  </si>
  <si>
    <t>CO-197</t>
  </si>
  <si>
    <t>FR-INC-004; FR-INC-003</t>
  </si>
  <si>
    <t>Hanoia PIC trên bill + Other CA → 70/30</t>
  </si>
  <si>
    <t>CO-198</t>
  </si>
  <si>
    <t>Hanoia PIC không trên bill + Other CA → 0/100</t>
  </si>
  <si>
    <t>CO-199</t>
  </si>
  <si>
    <t>Nhóm Kenzo… PIC trên bill + Other CA → 100/0</t>
  </si>
  <si>
    <t>CO-200</t>
  </si>
  <si>
    <t>Nhóm Chopard… PIC không trên bill + Other CA → 70/30</t>
  </si>
  <si>
    <t>CO-201</t>
  </si>
  <si>
    <t>Nhóm Loewe… PIC trên bill + Other CA → 50/50</t>
  </si>
  <si>
    <t>CO-202</t>
  </si>
  <si>
    <t>Nhóm BOSS… PIC không trên bill + Other CA → 0/100</t>
  </si>
  <si>
    <t>CO-203</t>
  </si>
  <si>
    <t>Hermès PIC đơn độc → 100%</t>
  </si>
  <si>
    <t>CO-204</t>
  </si>
  <si>
    <t>Hermès PIC + 2 Other CA → 50/25/25</t>
  </si>
  <si>
    <t>CO-205</t>
  </si>
  <si>
    <t>Hanoia PIC + 3 Other CA → 70/10/10/10</t>
  </si>
  <si>
    <t>CO-206</t>
  </si>
  <si>
    <t>Brand chưa có dòng cấu hình, PIC đơn độc → 100%</t>
  </si>
  <si>
    <t>CO-207</t>
  </si>
  <si>
    <t>Bill có PIC: dòng bị loại không chia, dòng khác chia bình thường</t>
  </si>
  <si>
    <t>CO-208</t>
  </si>
  <si>
    <t>Nhân viên có Incentive từ 3 bill → tổng cộng dồn</t>
  </si>
  <si>
    <t>CO-209</t>
  </si>
  <si>
    <t>Dòng bị loại không vào tổng của ai trong kỳ</t>
  </si>
  <si>
    <t>CO-210</t>
  </si>
  <si>
    <t>Bộ lọc kỳ áp dụng cho tổng Incentive</t>
  </si>
  <si>
    <t>CO-211</t>
  </si>
  <si>
    <t>Drill-down tổng Incentive theo Brand</t>
  </si>
  <si>
    <t>CO-212</t>
  </si>
  <si>
    <t>Incentive truy vết về bill/dòng gốc</t>
  </si>
  <si>
    <t>CO-213</t>
  </si>
  <si>
    <t>Bill đã tính Incentive bị hoàn trả</t>
  </si>
  <si>
    <t>CO-214</t>
  </si>
  <si>
    <t>FR-INC-003; FR-INC-004</t>
  </si>
  <si>
    <t>Bill 0 nhân viên / PIC vắng không Other CA</t>
  </si>
  <si>
    <t>CO-215</t>
  </si>
  <si>
    <t>Tổ hợp cấu hình Brand ngoài AC</t>
  </si>
  <si>
    <t>CO-216</t>
  </si>
  <si>
    <t>Record m_rma_id khác null bị bỏ qua</t>
  </si>
  <si>
    <t>CO-217</t>
  </si>
  <si>
    <t>salerep_ids 2 phần tử → 2 bản ghi hoa hồng</t>
  </si>
  <si>
    <t>CO-218</t>
  </si>
  <si>
    <t>Giá trị lưu theo dòng đơn, không phải tổng đơn</t>
  </si>
  <si>
    <t>CO-219</t>
  </si>
  <si>
    <t>Record vi phạm quy tắc</t>
  </si>
  <si>
    <t>CO-220</t>
  </si>
  <si>
    <t>Đổi thuế &lt; 400ms</t>
  </si>
  <si>
    <t>CO-221</t>
  </si>
  <si>
    <t>Chọn store / chip Brand &lt; 400ms</t>
  </si>
  <si>
    <t>CO-222</t>
  </si>
  <si>
    <t>Tìm kiếm, sắp xếp, phân trang bảng &lt; 400ms</t>
  </si>
  <si>
    <t>CO-223</t>
  </si>
  <si>
    <t>Cửa sổ 1280px: bố cục đầy đủ</t>
  </si>
  <si>
    <t>CO-224</t>
  </si>
  <si>
    <t>Cửa sổ 1279px và 768px: sidebar icon, KPI 2 cột, biểu đồ 1 cột</t>
  </si>
  <si>
    <t>CO-225</t>
  </si>
  <si>
    <t>Cửa sổ dưới 768px</t>
  </si>
  <si>
    <t>CO-226</t>
  </si>
  <si>
    <t>Hover state phần tử bấm được</t>
  </si>
  <si>
    <t>CO-227</t>
  </si>
  <si>
    <t>Focus ring khi Tab</t>
  </si>
  <si>
    <t>CO-228</t>
  </si>
  <si>
    <t>Tooltip khi focus bàn phím</t>
  </si>
  <si>
    <t>CO-229</t>
  </si>
  <si>
    <t>Trạng thái cột phân biệt được khi không có màu</t>
  </si>
  <si>
    <t>CO-230</t>
  </si>
  <si>
    <t>CA là PIC nhưng không đứng tên bill không thấy bill; người đứng tên thấy</t>
  </si>
  <si>
    <t>CO-231</t>
  </si>
  <si>
    <t>Store Manager 1 store: nhãn tên store, xếp hạng CA, không tab Store</t>
  </si>
  <si>
    <t>CO-232</t>
  </si>
  <si>
    <t>Biên dưới kỳ: 00:00:00 ngày đầu thuộc, 23:59:59 ngày trước không thuộc</t>
  </si>
  <si>
    <t>CO-233</t>
  </si>
  <si>
    <t>Chưa đăng nhập: không xem được dashboard/API</t>
  </si>
  <si>
    <t>CO-234</t>
  </si>
  <si>
    <t>Nhiều Position phạm vi rời nhau</t>
  </si>
  <si>
    <t>CO-235</t>
  </si>
  <si>
    <t>KPI khác và bộ lọc ở mức Cá nhân</t>
  </si>
  <si>
    <t>CO-236</t>
  </si>
  <si>
    <t>tax_total âm → log, số theo ERP</t>
  </si>
  <si>
    <t>CO-237</t>
  </si>
  <si>
    <t>Số đơn trả cross-period trong cảnh báo theo store đang chọn</t>
  </si>
  <si>
    <t>CO-238</t>
  </si>
  <si>
    <t>Kỳ 32 ngày chạm 2 tháng: Tháng bấm được khi tự chọn Tuần</t>
  </si>
  <si>
    <t>CO-239</t>
  </si>
  <si>
    <t>Kỳ kết thúc hôm qua, tuần cuối chứa hôm nay → Bị cắt, không sọc</t>
  </si>
  <si>
    <t>CO-240</t>
  </si>
  <si>
    <t>Hoàn trả trong tooltip theo cách nhìn thuế</t>
  </si>
  <si>
    <t>CO-241</t>
  </si>
  <si>
    <t>Half-up số âm ,5</t>
  </si>
  <si>
    <t>CO-242</t>
  </si>
  <si>
    <t>Gộp tài khoản khách làm đổi số kỳ cũ</t>
  </si>
  <si>
    <t>CO-243</t>
  </si>
  <si>
    <t>Lọc CA khoá vẫn duyệt CA qua tab bảng</t>
  </si>
  <si>
    <t>CO-244</t>
  </si>
  <si>
    <t>FR-SPM-011; FR-SPM-001</t>
  </si>
  <si>
    <t>Tab CA ST3: mỗi CA trọn Sales bill, Σ dòng &gt; Tổng</t>
  </si>
  <si>
    <t>CO-245</t>
  </si>
  <si>
    <t>Chip 1 Brand → không tab Theo Brand</t>
  </si>
  <si>
    <t>CO-246</t>
  </si>
  <si>
    <t>Đổi thuế khi sắp theo Sales: thứ tự và # tính lại</t>
  </si>
  <si>
    <t>CO-247</t>
  </si>
  <si>
    <t>B2B có PIC trên bill vẫn N/A</t>
  </si>
  <si>
    <t>CO-248</t>
  </si>
  <si>
    <t>FR-INC-004; FR-INC-001</t>
  </si>
  <si>
    <t>PIC vắng, dòng Chopard + dòng BOSS</t>
  </si>
  <si>
    <t>CO-249</t>
  </si>
  <si>
    <t>Cơ sở thuế Gross/Net, Gross = 0, Discount âm</t>
  </si>
  <si>
    <t>CO-250</t>
  </si>
  <si>
    <t>Quyền xem Incentive theo vai trò, chặn API</t>
  </si>
  <si>
    <t>CO-251</t>
  </si>
  <si>
    <t>F5 khi đang có bộ lọc</t>
  </si>
  <si>
    <t>CO-252</t>
  </si>
  <si>
    <t>Đơn mới đồng bộ từ HUB khi đang mở dashboard</t>
  </si>
  <si>
    <t>Clause_ID</t>
  </si>
  <si>
    <t>Mệnh đề</t>
  </si>
  <si>
    <t>CO</t>
  </si>
  <si>
    <t>REQ-UI-01-c1</t>
  </si>
  <si>
    <t>CO-01; CO-02; CO-03; CO-04; CO-05; CO-06</t>
  </si>
  <si>
    <t>TC-FLT-001, TC-FLT-002, TC-FLT-003, TC-FLT-004, TC-FLT-005, TC-FLT-006</t>
  </si>
  <si>
    <t>REQ-UI-01-c2</t>
  </si>
  <si>
    <t>Covered (oracle tạm)</t>
  </si>
  <si>
    <t>REQ-UI-01-c3</t>
  </si>
  <si>
    <t>CO-08; CO-09</t>
  </si>
  <si>
    <t>TC-FLT-008, TC-FLT-009</t>
  </si>
  <si>
    <t>REQ-UI-01-c4</t>
  </si>
  <si>
    <t>REQ-UI-01-c5</t>
  </si>
  <si>
    <t>REQ-UI-01-c6</t>
  </si>
  <si>
    <t>REQ-UI-02-c1</t>
  </si>
  <si>
    <t>CO-01; CO-11</t>
  </si>
  <si>
    <t>TC-FLT-001, TC-FLT-011</t>
  </si>
  <si>
    <t>REQ-UI-02-c2</t>
  </si>
  <si>
    <t>REQ-UI-02-c3</t>
  </si>
  <si>
    <t>REQ-UI-02-c4</t>
  </si>
  <si>
    <t>REQ-UI-02-c5</t>
  </si>
  <si>
    <t>REQ-UI-02-c6</t>
  </si>
  <si>
    <t>REQ-UI-03-c1</t>
  </si>
  <si>
    <t>CO-92; CO-93</t>
  </si>
  <si>
    <t>TC-ALERT-001, TC-ALERT-002</t>
  </si>
  <si>
    <t>REQ-UI-03-c3</t>
  </si>
  <si>
    <t>REQ-UI-03-c2</t>
  </si>
  <si>
    <t>CO-94; CO-95</t>
  </si>
  <si>
    <t>TC-ALERT-003, TC-ALERT-004</t>
  </si>
  <si>
    <t>REQ-UI-04-c1</t>
  </si>
  <si>
    <t>REQ-UI-04-c2</t>
  </si>
  <si>
    <t>REQ-UI-05-c1</t>
  </si>
  <si>
    <t>REQ-UI-05-c2</t>
  </si>
  <si>
    <t>REQ-UI-06-c1</t>
  </si>
  <si>
    <t>REQ-UI-06-c2</t>
  </si>
  <si>
    <t>REQ-UI-06-c3</t>
  </si>
  <si>
    <t>REQ-UI-07-c1</t>
  </si>
  <si>
    <t>REQ-UI-07-c2</t>
  </si>
  <si>
    <t>NFR-SPM-006-c1</t>
  </si>
  <si>
    <t>NFR-SPM-006-c2</t>
  </si>
  <si>
    <t>NFR-SPM-006-c3</t>
  </si>
  <si>
    <t>FR-SPM-001-c1a</t>
  </si>
  <si>
    <t>FR-SPM-001-c1b</t>
  </si>
  <si>
    <t>FR-SPM-001-c1c</t>
  </si>
  <si>
    <t>FR-SPM-001-c15</t>
  </si>
  <si>
    <t>FR-SPM-001-c16</t>
  </si>
  <si>
    <t>FR-SPM-001-c2</t>
  </si>
  <si>
    <t>FR-SPM-001-c3</t>
  </si>
  <si>
    <t>FR-SPM-001-c4</t>
  </si>
  <si>
    <t>FR-SPM-001-c5</t>
  </si>
  <si>
    <t>CO-18; CO-148</t>
  </si>
  <si>
    <t>TC-SCOPE-006, TC-STORE-002</t>
  </si>
  <si>
    <t>FR-SPM-001-c6</t>
  </si>
  <si>
    <t>FR-SPM-001-c7</t>
  </si>
  <si>
    <t>FR-SPM-001-c8</t>
  </si>
  <si>
    <t>FR-SPM-001-c9</t>
  </si>
  <si>
    <t>FR-SPM-001-c10</t>
  </si>
  <si>
    <t>FR-SPM-001-c11</t>
  </si>
  <si>
    <t>CO-23; CO-24; CO-232</t>
  </si>
  <si>
    <t>TC-SCOPE-011, TC-SCOPE-012, TC-SCOPE-022</t>
  </si>
  <si>
    <t>FR-SPM-001-c17</t>
  </si>
  <si>
    <t>FR-SPM-001-c12</t>
  </si>
  <si>
    <t>CO-25; CO-26; CO-27</t>
  </si>
  <si>
    <t>TC-SCOPE-013, TC-SCOPE-014, TC-SCOPE-015</t>
  </si>
  <si>
    <t>FR-SPM-001-c13a</t>
  </si>
  <si>
    <t>CO-16; CO-244</t>
  </si>
  <si>
    <t>TC-SCOPE-004, TC-TABLE-016</t>
  </si>
  <si>
    <t>FR-SPM-001-c13b</t>
  </si>
  <si>
    <t>FR-SPM-001-c14</t>
  </si>
  <si>
    <t>FR-SPM-002-c1</t>
  </si>
  <si>
    <t>FR-SPM-002-c2</t>
  </si>
  <si>
    <t>FR-SPM-002-c3</t>
  </si>
  <si>
    <t>FR-SPM-002-c4</t>
  </si>
  <si>
    <t>FR-SPM-002-c5</t>
  </si>
  <si>
    <t>FR-SPM-002-c6</t>
  </si>
  <si>
    <t>FR-SPM-002-c7</t>
  </si>
  <si>
    <t>FR-SPM-002-c8</t>
  </si>
  <si>
    <t>FR-SPM-002-c9</t>
  </si>
  <si>
    <t>FR-SPM-002-c10</t>
  </si>
  <si>
    <t>FR-SPM-002-c11</t>
  </si>
  <si>
    <t>FR-SPM-002-c12</t>
  </si>
  <si>
    <t>FR-SPM-002-c13</t>
  </si>
  <si>
    <t>CO-44; CO-45; CO-46; CO-236</t>
  </si>
  <si>
    <t>TC-SALES-013, TC-SALES-014, TC-SALES-015, TC-SALES-017</t>
  </si>
  <si>
    <t>FR-SPM-002-c14</t>
  </si>
  <si>
    <t>FR-SPM-003-c1</t>
  </si>
  <si>
    <t>FR-SPM-003-c2</t>
  </si>
  <si>
    <t>FR-SPM-003-c3</t>
  </si>
  <si>
    <t>FR-SPM-003-c4</t>
  </si>
  <si>
    <t>FR-SPM-003-c5</t>
  </si>
  <si>
    <t>FR-SPM-004-c1</t>
  </si>
  <si>
    <t>FR-SPM-004-c2</t>
  </si>
  <si>
    <t>FR-SPM-004-c3</t>
  </si>
  <si>
    <t>FR-SPM-004-c4</t>
  </si>
  <si>
    <t>FR-SPM-004-c5</t>
  </si>
  <si>
    <t>FR-SPM-004-c6</t>
  </si>
  <si>
    <t>FR-SPM-005-c1</t>
  </si>
  <si>
    <t>FR-SPM-005-c2</t>
  </si>
  <si>
    <t>FR-SPM-005-c3</t>
  </si>
  <si>
    <t>FR-SPM-005-c4</t>
  </si>
  <si>
    <t>FR-SPM-005-c5</t>
  </si>
  <si>
    <t>FR-SPM-005-c6</t>
  </si>
  <si>
    <t>FR-SPM-005-c7</t>
  </si>
  <si>
    <t>FR-SPM-006-c1</t>
  </si>
  <si>
    <t>FR-SPM-006-c2</t>
  </si>
  <si>
    <t>FR-SPM-006-c3</t>
  </si>
  <si>
    <t>FR-SPM-006-c4</t>
  </si>
  <si>
    <t>FR-SPM-006-c5</t>
  </si>
  <si>
    <t>FR-SPM-006-c6</t>
  </si>
  <si>
    <t>FR-SPM-006-c7</t>
  </si>
  <si>
    <t>FR-SPM-007-c1</t>
  </si>
  <si>
    <t>FR-SPM-007-c2</t>
  </si>
  <si>
    <t>FR-SPM-007-c3</t>
  </si>
  <si>
    <t>FR-SPM-007-c4</t>
  </si>
  <si>
    <t>FR-SPM-007-c5</t>
  </si>
  <si>
    <t>FR-SPM-007-c6</t>
  </si>
  <si>
    <t>FR-SPM-007-c7</t>
  </si>
  <si>
    <t>FR-SPM-008-c1</t>
  </si>
  <si>
    <t>FR-SPM-008-c2</t>
  </si>
  <si>
    <t>FR-SPM-008-c3</t>
  </si>
  <si>
    <t>FR-SPM-008-c4</t>
  </si>
  <si>
    <t>FR-SPM-008-c5</t>
  </si>
  <si>
    <t>FR-SPM-008-c6</t>
  </si>
  <si>
    <t>FR-SPM-008-c7</t>
  </si>
  <si>
    <t>FR-SPM-008-c8</t>
  </si>
  <si>
    <t>FR-SPM-008-c9</t>
  </si>
  <si>
    <t>FR-SPM-009-c1</t>
  </si>
  <si>
    <t>FR-SPM-009-c2</t>
  </si>
  <si>
    <t>FR-SPM-009-c3</t>
  </si>
  <si>
    <t>FR-SPM-009-c4</t>
  </si>
  <si>
    <t>FR-SPM-009-c5</t>
  </si>
  <si>
    <t>FR-SPM-009-c6</t>
  </si>
  <si>
    <t>FR-SPM-009-c7</t>
  </si>
  <si>
    <t>FR-SPM-009-c8</t>
  </si>
  <si>
    <t>FR-SPM-009-c9</t>
  </si>
  <si>
    <t>FR-SPM-009-c10</t>
  </si>
  <si>
    <t>FR-SPM-009-c11</t>
  </si>
  <si>
    <t>FR-SPM-009-c12</t>
  </si>
  <si>
    <t>FR-SPM-009-c13</t>
  </si>
  <si>
    <t>FR-SPM-009-c14</t>
  </si>
  <si>
    <t>FR-SPM-009-c15</t>
  </si>
  <si>
    <t>FR-SPM-009-c16</t>
  </si>
  <si>
    <t>FR-SPM-010-c1</t>
  </si>
  <si>
    <t>FR-SPM-010-c2</t>
  </si>
  <si>
    <t>FR-SPM-010-c3</t>
  </si>
  <si>
    <t>CO-98; CO-112</t>
  </si>
  <si>
    <t>TC-CHART-003, TC-CHART-023</t>
  </si>
  <si>
    <t>FR-SPM-010-c4</t>
  </si>
  <si>
    <t>FR-SPM-010-c5</t>
  </si>
  <si>
    <t>CO-102; CO-103; CO-104; CO-105</t>
  </si>
  <si>
    <t>TC-CHART-013, TC-CHART-014, TC-CHART-015, TC-CHART-016</t>
  </si>
  <si>
    <t>FR-SPM-010-c6</t>
  </si>
  <si>
    <t>FR-SPM-010-c7</t>
  </si>
  <si>
    <t>CO-106; CO-107; CO-103</t>
  </si>
  <si>
    <t>TC-CHART-014, TC-CHART-017, TC-CHART-018</t>
  </si>
  <si>
    <t>FR-SPM-010-c8</t>
  </si>
  <si>
    <t>CO-108; CO-99; CO-109; CO-110</t>
  </si>
  <si>
    <t>TC-CHART-004, TC-CHART-019, TC-CHART-020, TC-CHART-021</t>
  </si>
  <si>
    <t>FR-SPM-010-c9</t>
  </si>
  <si>
    <t>CO-108; CO-111; CO-112; CO-238</t>
  </si>
  <si>
    <t>TC-CHART-019, TC-CHART-022, TC-CHART-023, TC-CHART-050</t>
  </si>
  <si>
    <t>FR-SPM-010-c10</t>
  </si>
  <si>
    <t>FR-SPM-010-c11</t>
  </si>
  <si>
    <t>CO-114; CO-115</t>
  </si>
  <si>
    <t>TC-CHART-003, TC-CHART-009</t>
  </si>
  <si>
    <t>FR-SPM-010-c12</t>
  </si>
  <si>
    <t>FR-SPM-010-c13</t>
  </si>
  <si>
    <t>FR-SPM-010-c14</t>
  </si>
  <si>
    <t>FR-SPM-010-c15</t>
  </si>
  <si>
    <t>FR-SPM-010-c16</t>
  </si>
  <si>
    <t>CO-99; CO-239</t>
  </si>
  <si>
    <t>TC-CHART-004, TC-CHART-051</t>
  </si>
  <si>
    <t>FR-SPM-010-c17</t>
  </si>
  <si>
    <t>FR-SPM-010-c18</t>
  </si>
  <si>
    <t>FR-SPM-010-c19</t>
  </si>
  <si>
    <t>FR-SPM-010-c20</t>
  </si>
  <si>
    <t>FR-SPM-010-c21</t>
  </si>
  <si>
    <t>CO-122; CO-124</t>
  </si>
  <si>
    <t>TC-CHART-028, TC-CHART-030</t>
  </si>
  <si>
    <t>FR-SPM-010-c22</t>
  </si>
  <si>
    <t>FR-SPM-010-c23</t>
  </si>
  <si>
    <t>CO-126; CO-127</t>
  </si>
  <si>
    <t>TC-CHART-026, TC-CHART-027</t>
  </si>
  <si>
    <t>FR-SPM-010-c24</t>
  </si>
  <si>
    <t>CO-97; CO-98</t>
  </si>
  <si>
    <t>TC-CHART-002, TC-CHART-003</t>
  </si>
  <si>
    <t>FR-SPM-010-c25</t>
  </si>
  <si>
    <t>CO-124; CO-125</t>
  </si>
  <si>
    <t>TC-CHART-030, TC-CHART-031</t>
  </si>
  <si>
    <t>FR-SPM-010-c26</t>
  </si>
  <si>
    <t>CO-128; CO-129</t>
  </si>
  <si>
    <t>TC-CHART-036, TC-CHART-037</t>
  </si>
  <si>
    <t>FR-SPM-010-c27</t>
  </si>
  <si>
    <t>FR-SPM-010-c28</t>
  </si>
  <si>
    <t>CO-131; CO-132</t>
  </si>
  <si>
    <t>TC-CHART-039, TC-CHART-040</t>
  </si>
  <si>
    <t>FR-SPM-010-c29</t>
  </si>
  <si>
    <t>FR-SPM-010-c30</t>
  </si>
  <si>
    <t>CO-133; CO-134</t>
  </si>
  <si>
    <t>TC-CHART-033, TC-CHART-034</t>
  </si>
  <si>
    <t>FR-SPM-010-c31</t>
  </si>
  <si>
    <t>CO-133; CO-134; CO-135</t>
  </si>
  <si>
    <t>TC-CHART-033, TC-CHART-034, TC-CHART-035</t>
  </si>
  <si>
    <t>FR-SPM-010-c32</t>
  </si>
  <si>
    <t>CO-97; CO-136; CO-137; CO-112</t>
  </si>
  <si>
    <t>TC-CHART-002, TC-CHART-023, TC-CHART-024, TC-CHART-025</t>
  </si>
  <si>
    <t>FR-SPM-010-c33</t>
  </si>
  <si>
    <t>FR-SPM-010-c34</t>
  </si>
  <si>
    <t>FR-SPM-010-c35</t>
  </si>
  <si>
    <t>FR-SPM-010-c36</t>
  </si>
  <si>
    <t>FR-SPM-010-c37</t>
  </si>
  <si>
    <t>FR-SPM-010-c42</t>
  </si>
  <si>
    <t>FR-SPM-010-c38</t>
  </si>
  <si>
    <t>FR-SPM-010-c39</t>
  </si>
  <si>
    <t>FR-SPM-010-c40</t>
  </si>
  <si>
    <t>FR-SPM-010-c41</t>
  </si>
  <si>
    <t>FR-SPM-011-c1</t>
  </si>
  <si>
    <t>FR-SPM-011-c2</t>
  </si>
  <si>
    <t>FR-SPM-011-c3</t>
  </si>
  <si>
    <t>FR-SPM-011-c4</t>
  </si>
  <si>
    <t>CO-147; CO-148</t>
  </si>
  <si>
    <t>TC-STORE-001, TC-STORE-002</t>
  </si>
  <si>
    <t>FR-SPM-011-c5</t>
  </si>
  <si>
    <t>FR-SPM-011-c6</t>
  </si>
  <si>
    <t>CO-147; CO-149; CO-152; CO-153</t>
  </si>
  <si>
    <t>TC-STORE-001, TC-STORE-003, TC-STORE-005, TC-STORE-006</t>
  </si>
  <si>
    <t>FR-SPM-011-c7</t>
  </si>
  <si>
    <t>FR-SPM-011-c8</t>
  </si>
  <si>
    <t>CO-156; CO-157; CO-147</t>
  </si>
  <si>
    <t>TC-STORE-001, TC-STORE-009, TC-STORE-010</t>
  </si>
  <si>
    <t>FR-SPM-011-c9</t>
  </si>
  <si>
    <t>FR-SPM-011-c10</t>
  </si>
  <si>
    <t>FR-SPM-011-c11</t>
  </si>
  <si>
    <t>CO-160; CO-161; CO-162</t>
  </si>
  <si>
    <t>TC-RANK-001, TC-RANK-002, TC-RANK-003</t>
  </si>
  <si>
    <t>FR-SPM-011-c12</t>
  </si>
  <si>
    <t>CO-163; CO-164</t>
  </si>
  <si>
    <t>TC-RANK-004, TC-RANK-005</t>
  </si>
  <si>
    <t>FR-SPM-011-c13</t>
  </si>
  <si>
    <t>FR-SPM-011-c14</t>
  </si>
  <si>
    <t>CO-174; CO-175; CO-176</t>
  </si>
  <si>
    <t>TC-TABLE-008, TC-TABLE-009, TC-TABLE-010</t>
  </si>
  <si>
    <t>FR-SPM-011-c15</t>
  </si>
  <si>
    <t>CO-167; CO-168; CO-169</t>
  </si>
  <si>
    <t>TC-TABLE-001, TC-TABLE-002, TC-TABLE-003</t>
  </si>
  <si>
    <t>FR-SPM-011-c16</t>
  </si>
  <si>
    <t>CO-180; CO-173</t>
  </si>
  <si>
    <t>TC-TABLE-007, TC-TABLE-014</t>
  </si>
  <si>
    <t>FR-SPM-011-c17</t>
  </si>
  <si>
    <t>CO-170; CO-173</t>
  </si>
  <si>
    <t>TC-TABLE-004, TC-TABLE-007</t>
  </si>
  <si>
    <t>FR-SPM-011-c18</t>
  </si>
  <si>
    <t>FR-SPM-011-c19</t>
  </si>
  <si>
    <t>FR-SPM-011-c20</t>
  </si>
  <si>
    <t>FR-SPM-011-c21</t>
  </si>
  <si>
    <t>FR-SPM-011-c22</t>
  </si>
  <si>
    <t>FR-SPM-011-c23</t>
  </si>
  <si>
    <t>FR-SPM-011-c24</t>
  </si>
  <si>
    <t>FR-SPM-011-c25</t>
  </si>
  <si>
    <t>FR-INC-001-c1</t>
  </si>
  <si>
    <t>FR-INC-002-c1</t>
  </si>
  <si>
    <t>FR-INC-002-c2</t>
  </si>
  <si>
    <t>CO-185; CO-187</t>
  </si>
  <si>
    <t>TC-INC-003, TC-INC-005</t>
  </si>
  <si>
    <t>FR-INC-002-c3</t>
  </si>
  <si>
    <t>CO-186; CO-187</t>
  </si>
  <si>
    <t>TC-INC-004, TC-INC-005</t>
  </si>
  <si>
    <t>FR-INC-002-c4</t>
  </si>
  <si>
    <t>FR-INC-002-c5</t>
  </si>
  <si>
    <t>FR-INC-002-c6</t>
  </si>
  <si>
    <t>FR-INC-002-c7</t>
  </si>
  <si>
    <t>FR-INC-003-c1</t>
  </si>
  <si>
    <t>CO-192; CO-193</t>
  </si>
  <si>
    <t>TC-INC-010, TC-INC-011</t>
  </si>
  <si>
    <t>FR-INC-003-c2</t>
  </si>
  <si>
    <t>FR-INC-003-c3</t>
  </si>
  <si>
    <t>FR-INC-003-c4</t>
  </si>
  <si>
    <t>FR-INC-003-c5</t>
  </si>
  <si>
    <t>FR-INC-003-c6</t>
  </si>
  <si>
    <t>FR-INC-003-c7</t>
  </si>
  <si>
    <t>FR-INC-002-c8</t>
  </si>
  <si>
    <t>FR-INC-004-c1</t>
  </si>
  <si>
    <t>FR-INC-004-c2</t>
  </si>
  <si>
    <t>FR-INC-004-c3</t>
  </si>
  <si>
    <t>FR-INC-004-c4</t>
  </si>
  <si>
    <t>FR-INC-004-c5</t>
  </si>
  <si>
    <t>FR-INC-004-c6</t>
  </si>
  <si>
    <t>FR-INC-004-c7</t>
  </si>
  <si>
    <t>FR-INC-004-c8</t>
  </si>
  <si>
    <t>FR-INC-004-c9</t>
  </si>
  <si>
    <t>FR-INC-004-c10</t>
  </si>
  <si>
    <t>FR-INC-004-c11</t>
  </si>
  <si>
    <t>FR-INC-004-c12</t>
  </si>
  <si>
    <t>FR-INC-004-c14</t>
  </si>
  <si>
    <t>FR-INC-004-c13</t>
  </si>
  <si>
    <t>FR-INC-005-c1</t>
  </si>
  <si>
    <t>FR-INC-005-c2</t>
  </si>
  <si>
    <t>FR-INC-005-c3</t>
  </si>
  <si>
    <t>FR-INC-005-c4</t>
  </si>
  <si>
    <t>FR-INC-005-c5</t>
  </si>
  <si>
    <t>FR-INC-005-c6</t>
  </si>
  <si>
    <t>NFR-INC-001-c1</t>
  </si>
  <si>
    <t>NFR-INC-002-c1</t>
  </si>
  <si>
    <t>REQ-MIG-01-c1</t>
  </si>
  <si>
    <t>REQ-MIG-01-c2</t>
  </si>
  <si>
    <t>REQ-MIG-01-c3</t>
  </si>
  <si>
    <t>REQ-MIG-01-c4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</si>
</sst>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rgb="FFFFFFFF"/>
      <name val="Calibri"/>
      <charset val="134"/>
      <scheme val="minor"/>
    </font>
    <font>
      <b/>
      <sz val="14"/>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1F4E78"/>
        <bgColor indexed="64"/>
      </patternFill>
    </fill>
    <fill>
      <patternFill patternType="solid">
        <fgColor rgb="FFFCE4D6"/>
        <bgColor indexed="64"/>
      </patternFill>
    </fill>
    <fill>
      <patternFill patternType="solid">
        <fgColor rgb="FF7F6000"/>
        <bgColor indexed="64"/>
      </patternFill>
    </fill>
    <fill>
      <patternFill patternType="solid">
        <fgColor rgb="FFC6E0B4"/>
        <bgColor indexed="64"/>
      </patternFill>
    </fill>
    <fill>
      <patternFill patternType="solid">
        <fgColor rgb="FFFFE699"/>
        <bgColor indexed="64"/>
      </patternFill>
    </fill>
    <fill>
      <patternFill patternType="solid">
        <fgColor rgb="FFF8CBAD"/>
        <bgColor indexed="64"/>
      </patternFill>
    </fill>
    <fill>
      <patternFill patternType="solid">
        <fgColor rgb="FFF4CCCC"/>
        <bgColor indexed="64"/>
      </patternFill>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10"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11" borderId="5" applyNumberFormat="0" applyAlignment="0" applyProtection="0">
      <alignment vertical="center"/>
    </xf>
    <xf numFmtId="0" fontId="14" fillId="12" borderId="6" applyNumberFormat="0" applyAlignment="0" applyProtection="0">
      <alignment vertical="center"/>
    </xf>
    <xf numFmtId="0" fontId="15" fillId="12" borderId="5" applyNumberFormat="0" applyAlignment="0" applyProtection="0">
      <alignment vertical="center"/>
    </xf>
    <xf numFmtId="0" fontId="16" fillId="13"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xf numFmtId="0" fontId="22" fillId="37" borderId="0" applyNumberFormat="0" applyBorder="0" applyAlignment="0" applyProtection="0">
      <alignment vertical="center"/>
    </xf>
    <xf numFmtId="0" fontId="23" fillId="38" borderId="0" applyNumberFormat="0" applyBorder="0" applyAlignment="0" applyProtection="0">
      <alignment vertical="center"/>
    </xf>
    <xf numFmtId="0" fontId="23" fillId="39" borderId="0" applyNumberFormat="0" applyBorder="0" applyAlignment="0" applyProtection="0">
      <alignment vertical="center"/>
    </xf>
    <xf numFmtId="0" fontId="22" fillId="40" borderId="0" applyNumberFormat="0" applyBorder="0" applyAlignment="0" applyProtection="0">
      <alignment vertical="center"/>
    </xf>
  </cellStyleXfs>
  <cellXfs count="12">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0" borderId="0" xfId="0" applyFont="1"/>
    <xf numFmtId="0" fontId="3" fillId="0" borderId="0" xfId="0" applyFont="1"/>
    <xf numFmtId="0" fontId="1" fillId="4" borderId="1" xfId="0" applyFont="1" applyFill="1" applyBorder="1" applyAlignment="1">
      <alignment horizontal="center" vertical="center"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T233"/>
  <sheetViews>
    <sheetView tabSelected="1" workbookViewId="0">
      <pane xSplit="1" ySplit="1" topLeftCell="B3" activePane="bottomRight" state="frozen"/>
      <selection/>
      <selection pane="topRight"/>
      <selection pane="bottomLeft"/>
      <selection pane="bottomRight" activeCell="D2" sqref="D2"/>
    </sheetView>
  </sheetViews>
  <sheetFormatPr defaultColWidth="9" defaultRowHeight="14.4"/>
  <cols>
    <col min="1" max="2" width="16" customWidth="1"/>
    <col min="3" max="3" width="18" customWidth="1"/>
    <col min="4" max="4" width="33.2222222222222" customWidth="1"/>
    <col min="5" max="5" width="6.44444444444444" customWidth="1"/>
    <col min="6" max="6" width="6" customWidth="1"/>
    <col min="7" max="7" width="8.66666666666667" customWidth="1"/>
    <col min="8" max="8" width="9" customWidth="1"/>
    <col min="9" max="9" width="35" customWidth="1"/>
    <col min="10" max="10" width="8.66666666666667" customWidth="1"/>
    <col min="11" max="11" width="41.5555555555556" customWidth="1"/>
    <col min="12" max="12" width="33.1111111111111" customWidth="1"/>
    <col min="13" max="13" width="12" customWidth="1"/>
    <col min="14" max="14" width="11" customWidth="1"/>
    <col min="15" max="15" width="30" customWidth="1"/>
    <col min="16" max="16" width="16" customWidth="1"/>
    <col min="17" max="17" width="35" customWidth="1"/>
    <col min="18" max="18" width="12" customWidth="1"/>
    <col min="19" max="20" width="14" customWidth="1"/>
  </cols>
  <sheetData>
    <row r="1" ht="28.8" spans="1:20">
      <c r="A1" s="1" t="s">
        <v>0</v>
      </c>
      <c r="B1" s="1" t="s">
        <v>1</v>
      </c>
      <c r="C1" s="1" t="s">
        <v>2</v>
      </c>
      <c r="D1" s="1" t="s">
        <v>3</v>
      </c>
      <c r="E1" s="1" t="s">
        <v>4</v>
      </c>
      <c r="F1" s="1" t="s">
        <v>5</v>
      </c>
      <c r="G1" s="1" t="s">
        <v>6</v>
      </c>
      <c r="H1" s="1" t="s">
        <v>7</v>
      </c>
      <c r="I1" s="1" t="s">
        <v>8</v>
      </c>
      <c r="J1" s="1" t="s">
        <v>9</v>
      </c>
      <c r="K1" s="1" t="s">
        <v>10</v>
      </c>
      <c r="L1" s="1" t="s">
        <v>11</v>
      </c>
      <c r="M1" s="1"/>
      <c r="N1" s="1" t="s">
        <v>12</v>
      </c>
      <c r="O1" s="1" t="s">
        <v>13</v>
      </c>
      <c r="P1" s="1" t="s">
        <v>14</v>
      </c>
      <c r="Q1" s="6" t="s">
        <v>15</v>
      </c>
      <c r="R1" s="6" t="s">
        <v>16</v>
      </c>
      <c r="S1" s="6" t="s">
        <v>17</v>
      </c>
      <c r="T1" s="6" t="s">
        <v>18</v>
      </c>
    </row>
    <row r="2" ht="115.2" spans="1:20">
      <c r="A2" s="2" t="s">
        <v>19</v>
      </c>
      <c r="B2" s="2" t="s">
        <v>20</v>
      </c>
      <c r="C2" s="2" t="s">
        <v>21</v>
      </c>
      <c r="D2" s="2" t="s">
        <v>22</v>
      </c>
      <c r="E2" s="2" t="s">
        <v>23</v>
      </c>
      <c r="F2" s="2" t="s">
        <v>24</v>
      </c>
      <c r="G2" s="2" t="s">
        <v>25</v>
      </c>
      <c r="H2" s="7" t="s">
        <v>26</v>
      </c>
      <c r="I2" s="2" t="s">
        <v>27</v>
      </c>
      <c r="J2" s="2" t="s">
        <v>28</v>
      </c>
      <c r="K2" s="2" t="s">
        <v>29</v>
      </c>
      <c r="L2" s="2" t="s">
        <v>30</v>
      </c>
      <c r="M2" s="2" t="s">
        <v>31</v>
      </c>
      <c r="N2" s="2" t="s">
        <v>32</v>
      </c>
      <c r="O2" s="2" t="s">
        <v>33</v>
      </c>
      <c r="P2" s="2" t="s">
        <v>34</v>
      </c>
      <c r="Q2" s="2" t="s">
        <v>35</v>
      </c>
      <c r="R2" s="2" t="s">
        <v>35</v>
      </c>
      <c r="S2" s="2" t="s">
        <v>35</v>
      </c>
      <c r="T2" s="2" t="s">
        <v>35</v>
      </c>
    </row>
    <row r="3" ht="43.2" spans="1:20">
      <c r="A3" s="2" t="s">
        <v>36</v>
      </c>
      <c r="B3" s="2" t="s">
        <v>20</v>
      </c>
      <c r="C3" s="2" t="s">
        <v>37</v>
      </c>
      <c r="D3" s="2" t="s">
        <v>38</v>
      </c>
      <c r="E3" s="2" t="s">
        <v>39</v>
      </c>
      <c r="F3" s="2" t="s">
        <v>24</v>
      </c>
      <c r="G3" s="2" t="s">
        <v>40</v>
      </c>
      <c r="H3" s="8" t="s">
        <v>41</v>
      </c>
      <c r="I3" s="2" t="s">
        <v>42</v>
      </c>
      <c r="J3" s="2" t="s">
        <v>28</v>
      </c>
      <c r="K3" s="2" t="s">
        <v>43</v>
      </c>
      <c r="L3" s="2" t="s">
        <v>44</v>
      </c>
      <c r="M3" s="2" t="s">
        <v>45</v>
      </c>
      <c r="N3" s="2" t="s">
        <v>32</v>
      </c>
      <c r="O3" s="2" t="s">
        <v>35</v>
      </c>
      <c r="P3" s="2" t="s">
        <v>34</v>
      </c>
      <c r="Q3" s="2" t="s">
        <v>35</v>
      </c>
      <c r="R3" s="2" t="s">
        <v>35</v>
      </c>
      <c r="S3" s="2" t="s">
        <v>35</v>
      </c>
      <c r="T3" s="2" t="s">
        <v>35</v>
      </c>
    </row>
    <row r="4" ht="43.2" spans="1:20">
      <c r="A4" s="2" t="s">
        <v>46</v>
      </c>
      <c r="B4" s="2" t="s">
        <v>20</v>
      </c>
      <c r="C4" s="2" t="s">
        <v>37</v>
      </c>
      <c r="D4" s="2" t="s">
        <v>47</v>
      </c>
      <c r="E4" s="2" t="s">
        <v>39</v>
      </c>
      <c r="F4" s="2" t="s">
        <v>24</v>
      </c>
      <c r="G4" s="2" t="s">
        <v>40</v>
      </c>
      <c r="H4" s="8" t="s">
        <v>41</v>
      </c>
      <c r="I4" s="2" t="s">
        <v>42</v>
      </c>
      <c r="J4" s="2" t="s">
        <v>28</v>
      </c>
      <c r="K4" s="2" t="s">
        <v>48</v>
      </c>
      <c r="L4" s="2" t="s">
        <v>49</v>
      </c>
      <c r="M4" s="2" t="s">
        <v>45</v>
      </c>
      <c r="N4" s="2" t="s">
        <v>32</v>
      </c>
      <c r="O4" s="2" t="s">
        <v>50</v>
      </c>
      <c r="P4" s="3" t="s">
        <v>51</v>
      </c>
      <c r="Q4" s="2" t="s">
        <v>35</v>
      </c>
      <c r="R4" s="2" t="s">
        <v>35</v>
      </c>
      <c r="S4" s="2" t="s">
        <v>35</v>
      </c>
      <c r="T4" s="2" t="s">
        <v>35</v>
      </c>
    </row>
    <row r="5" ht="43.2" spans="1:20">
      <c r="A5" s="2" t="s">
        <v>52</v>
      </c>
      <c r="B5" s="2" t="s">
        <v>20</v>
      </c>
      <c r="C5" s="2" t="s">
        <v>37</v>
      </c>
      <c r="D5" s="2" t="s">
        <v>53</v>
      </c>
      <c r="E5" s="2" t="s">
        <v>39</v>
      </c>
      <c r="F5" s="2" t="s">
        <v>24</v>
      </c>
      <c r="G5" s="2" t="s">
        <v>40</v>
      </c>
      <c r="H5" s="8" t="s">
        <v>41</v>
      </c>
      <c r="I5" s="2" t="s">
        <v>42</v>
      </c>
      <c r="J5" s="2" t="s">
        <v>28</v>
      </c>
      <c r="K5" s="2" t="s">
        <v>54</v>
      </c>
      <c r="L5" s="2" t="s">
        <v>55</v>
      </c>
      <c r="M5" s="2" t="s">
        <v>45</v>
      </c>
      <c r="N5" s="2" t="s">
        <v>32</v>
      </c>
      <c r="O5" s="2" t="s">
        <v>35</v>
      </c>
      <c r="P5" s="2" t="s">
        <v>34</v>
      </c>
      <c r="Q5" s="2" t="s">
        <v>35</v>
      </c>
      <c r="R5" s="2" t="s">
        <v>35</v>
      </c>
      <c r="S5" s="2" t="s">
        <v>35</v>
      </c>
      <c r="T5" s="2" t="s">
        <v>35</v>
      </c>
    </row>
    <row r="6" ht="43.2" spans="1:20">
      <c r="A6" s="2" t="s">
        <v>56</v>
      </c>
      <c r="B6" s="2" t="s">
        <v>20</v>
      </c>
      <c r="C6" s="2" t="s">
        <v>37</v>
      </c>
      <c r="D6" s="2" t="s">
        <v>57</v>
      </c>
      <c r="E6" s="2" t="s">
        <v>39</v>
      </c>
      <c r="F6" s="2" t="s">
        <v>24</v>
      </c>
      <c r="G6" s="2" t="s">
        <v>40</v>
      </c>
      <c r="H6" s="8" t="s">
        <v>41</v>
      </c>
      <c r="I6" s="2" t="s">
        <v>42</v>
      </c>
      <c r="J6" s="2" t="s">
        <v>28</v>
      </c>
      <c r="K6" s="2" t="s">
        <v>58</v>
      </c>
      <c r="L6" s="2" t="s">
        <v>59</v>
      </c>
      <c r="M6" s="2" t="s">
        <v>45</v>
      </c>
      <c r="N6" s="2" t="s">
        <v>32</v>
      </c>
      <c r="O6" s="2" t="s">
        <v>35</v>
      </c>
      <c r="P6" s="2" t="s">
        <v>34</v>
      </c>
      <c r="Q6" s="2" t="s">
        <v>35</v>
      </c>
      <c r="R6" s="2" t="s">
        <v>35</v>
      </c>
      <c r="S6" s="2" t="s">
        <v>35</v>
      </c>
      <c r="T6" s="2" t="s">
        <v>35</v>
      </c>
    </row>
    <row r="7" ht="43.2" spans="1:20">
      <c r="A7" s="2" t="s">
        <v>60</v>
      </c>
      <c r="B7" s="2" t="s">
        <v>20</v>
      </c>
      <c r="C7" s="2" t="s">
        <v>37</v>
      </c>
      <c r="D7" s="2" t="s">
        <v>61</v>
      </c>
      <c r="E7" s="2" t="s">
        <v>39</v>
      </c>
      <c r="F7" s="2" t="s">
        <v>24</v>
      </c>
      <c r="G7" s="2" t="s">
        <v>40</v>
      </c>
      <c r="H7" s="8" t="s">
        <v>41</v>
      </c>
      <c r="I7" s="2" t="s">
        <v>42</v>
      </c>
      <c r="J7" s="2" t="s">
        <v>28</v>
      </c>
      <c r="K7" s="2" t="s">
        <v>62</v>
      </c>
      <c r="L7" s="2" t="s">
        <v>63</v>
      </c>
      <c r="M7" s="2" t="s">
        <v>45</v>
      </c>
      <c r="N7" s="2" t="s">
        <v>32</v>
      </c>
      <c r="O7" s="2" t="s">
        <v>35</v>
      </c>
      <c r="P7" s="2" t="s">
        <v>34</v>
      </c>
      <c r="Q7" s="2" t="s">
        <v>35</v>
      </c>
      <c r="R7" s="2" t="s">
        <v>35</v>
      </c>
      <c r="S7" s="2" t="s">
        <v>35</v>
      </c>
      <c r="T7" s="2" t="s">
        <v>35</v>
      </c>
    </row>
    <row r="8" ht="86.4" spans="1:20">
      <c r="A8" s="2" t="s">
        <v>64</v>
      </c>
      <c r="B8" s="2" t="s">
        <v>20</v>
      </c>
      <c r="C8" s="2" t="s">
        <v>37</v>
      </c>
      <c r="D8" s="2" t="s">
        <v>65</v>
      </c>
      <c r="E8" s="2" t="s">
        <v>39</v>
      </c>
      <c r="F8" s="2" t="s">
        <v>24</v>
      </c>
      <c r="G8" s="2" t="s">
        <v>40</v>
      </c>
      <c r="H8" s="9" t="s">
        <v>66</v>
      </c>
      <c r="I8" s="2" t="s">
        <v>67</v>
      </c>
      <c r="J8" s="2" t="s">
        <v>68</v>
      </c>
      <c r="K8" s="2" t="s">
        <v>69</v>
      </c>
      <c r="L8" s="2" t="s">
        <v>70</v>
      </c>
      <c r="M8" s="2" t="s">
        <v>45</v>
      </c>
      <c r="N8" s="2" t="s">
        <v>32</v>
      </c>
      <c r="O8" s="2" t="s">
        <v>71</v>
      </c>
      <c r="P8" s="3" t="s">
        <v>72</v>
      </c>
      <c r="Q8" s="2" t="s">
        <v>35</v>
      </c>
      <c r="R8" s="2" t="s">
        <v>35</v>
      </c>
      <c r="S8" s="2" t="s">
        <v>35</v>
      </c>
      <c r="T8" s="2" t="s">
        <v>35</v>
      </c>
    </row>
    <row r="9" ht="57.6" spans="1:20">
      <c r="A9" s="2" t="s">
        <v>73</v>
      </c>
      <c r="B9" s="2" t="s">
        <v>20</v>
      </c>
      <c r="C9" s="2" t="s">
        <v>37</v>
      </c>
      <c r="D9" s="2" t="s">
        <v>74</v>
      </c>
      <c r="E9" s="2" t="s">
        <v>75</v>
      </c>
      <c r="F9" s="2" t="s">
        <v>76</v>
      </c>
      <c r="G9" s="2" t="s">
        <v>77</v>
      </c>
      <c r="H9" s="8" t="s">
        <v>41</v>
      </c>
      <c r="I9" s="2" t="s">
        <v>42</v>
      </c>
      <c r="J9" s="2" t="s">
        <v>78</v>
      </c>
      <c r="K9" s="2" t="s">
        <v>79</v>
      </c>
      <c r="L9" s="2" t="s">
        <v>80</v>
      </c>
      <c r="M9" s="2" t="s">
        <v>45</v>
      </c>
      <c r="N9" s="2" t="s">
        <v>32</v>
      </c>
      <c r="O9" s="2" t="s">
        <v>35</v>
      </c>
      <c r="P9" s="2" t="s">
        <v>34</v>
      </c>
      <c r="Q9" s="2" t="s">
        <v>35</v>
      </c>
      <c r="R9" s="2" t="s">
        <v>35</v>
      </c>
      <c r="S9" s="2" t="s">
        <v>35</v>
      </c>
      <c r="T9" s="2" t="s">
        <v>35</v>
      </c>
    </row>
    <row r="10" ht="72" spans="1:20">
      <c r="A10" s="2" t="s">
        <v>81</v>
      </c>
      <c r="B10" s="2" t="s">
        <v>20</v>
      </c>
      <c r="C10" s="2" t="s">
        <v>37</v>
      </c>
      <c r="D10" s="2" t="s">
        <v>82</v>
      </c>
      <c r="E10" s="2" t="s">
        <v>75</v>
      </c>
      <c r="F10" s="2" t="s">
        <v>76</v>
      </c>
      <c r="G10" s="2" t="s">
        <v>77</v>
      </c>
      <c r="H10" s="8" t="s">
        <v>41</v>
      </c>
      <c r="I10" s="2" t="s">
        <v>42</v>
      </c>
      <c r="J10" s="2" t="s">
        <v>83</v>
      </c>
      <c r="K10" s="2" t="s">
        <v>84</v>
      </c>
      <c r="L10" s="2" t="s">
        <v>85</v>
      </c>
      <c r="M10" s="2" t="s">
        <v>45</v>
      </c>
      <c r="N10" s="2" t="s">
        <v>32</v>
      </c>
      <c r="O10" s="2" t="s">
        <v>86</v>
      </c>
      <c r="P10" s="3" t="s">
        <v>87</v>
      </c>
      <c r="Q10" s="2" t="s">
        <v>35</v>
      </c>
      <c r="R10" s="2" t="s">
        <v>35</v>
      </c>
      <c r="S10" s="2" t="s">
        <v>35</v>
      </c>
      <c r="T10" s="2" t="s">
        <v>35</v>
      </c>
    </row>
    <row r="11" ht="43.2" spans="1:20">
      <c r="A11" s="2" t="s">
        <v>88</v>
      </c>
      <c r="B11" s="2" t="s">
        <v>20</v>
      </c>
      <c r="C11" s="2" t="s">
        <v>37</v>
      </c>
      <c r="D11" s="2" t="s">
        <v>89</v>
      </c>
      <c r="E11" s="2" t="s">
        <v>39</v>
      </c>
      <c r="F11" s="2" t="s">
        <v>24</v>
      </c>
      <c r="G11" s="2" t="s">
        <v>40</v>
      </c>
      <c r="H11" s="7" t="s">
        <v>26</v>
      </c>
      <c r="I11" s="2" t="s">
        <v>90</v>
      </c>
      <c r="J11" s="2" t="s">
        <v>28</v>
      </c>
      <c r="K11" s="2" t="s">
        <v>91</v>
      </c>
      <c r="L11" s="2" t="s">
        <v>92</v>
      </c>
      <c r="M11" s="2" t="s">
        <v>45</v>
      </c>
      <c r="N11" s="2" t="s">
        <v>32</v>
      </c>
      <c r="O11" s="2" t="s">
        <v>93</v>
      </c>
      <c r="P11" s="3" t="s">
        <v>51</v>
      </c>
      <c r="Q11" s="2" t="s">
        <v>35</v>
      </c>
      <c r="R11" s="2" t="s">
        <v>35</v>
      </c>
      <c r="S11" s="2" t="s">
        <v>35</v>
      </c>
      <c r="T11" s="2" t="s">
        <v>35</v>
      </c>
    </row>
    <row r="12" ht="43.2" spans="1:20">
      <c r="A12" s="2" t="s">
        <v>94</v>
      </c>
      <c r="B12" s="2" t="s">
        <v>20</v>
      </c>
      <c r="C12" s="2" t="s">
        <v>95</v>
      </c>
      <c r="D12" s="2" t="s">
        <v>96</v>
      </c>
      <c r="E12" s="2" t="s">
        <v>39</v>
      </c>
      <c r="F12" s="2" t="s">
        <v>24</v>
      </c>
      <c r="G12" s="2" t="s">
        <v>40</v>
      </c>
      <c r="H12" s="8" t="s">
        <v>41</v>
      </c>
      <c r="I12" s="2" t="s">
        <v>97</v>
      </c>
      <c r="J12" s="2" t="s">
        <v>28</v>
      </c>
      <c r="K12" s="2" t="s">
        <v>91</v>
      </c>
      <c r="L12" s="2" t="s">
        <v>98</v>
      </c>
      <c r="M12" s="2" t="s">
        <v>45</v>
      </c>
      <c r="N12" s="2" t="s">
        <v>32</v>
      </c>
      <c r="O12" s="2" t="s">
        <v>99</v>
      </c>
      <c r="P12" s="3" t="s">
        <v>100</v>
      </c>
      <c r="Q12" s="2" t="s">
        <v>35</v>
      </c>
      <c r="R12" s="2" t="s">
        <v>35</v>
      </c>
      <c r="S12" s="2" t="s">
        <v>35</v>
      </c>
      <c r="T12" s="2" t="s">
        <v>35</v>
      </c>
    </row>
    <row r="13" ht="100.8" spans="1:20">
      <c r="A13" s="2" t="s">
        <v>101</v>
      </c>
      <c r="B13" s="2" t="s">
        <v>20</v>
      </c>
      <c r="C13" s="2" t="s">
        <v>102</v>
      </c>
      <c r="D13" s="2" t="s">
        <v>103</v>
      </c>
      <c r="E13" s="2" t="s">
        <v>104</v>
      </c>
      <c r="F13" s="2" t="s">
        <v>24</v>
      </c>
      <c r="G13" s="2" t="s">
        <v>105</v>
      </c>
      <c r="H13" s="8" t="s">
        <v>41</v>
      </c>
      <c r="I13" s="2" t="s">
        <v>106</v>
      </c>
      <c r="J13" s="2" t="s">
        <v>107</v>
      </c>
      <c r="K13" s="2" t="s">
        <v>108</v>
      </c>
      <c r="L13" s="2" t="s">
        <v>109</v>
      </c>
      <c r="M13" s="2" t="s">
        <v>45</v>
      </c>
      <c r="N13" s="2" t="s">
        <v>32</v>
      </c>
      <c r="O13" s="2" t="s">
        <v>110</v>
      </c>
      <c r="P13" s="2" t="s">
        <v>34</v>
      </c>
      <c r="Q13" s="2" t="s">
        <v>35</v>
      </c>
      <c r="R13" s="2" t="s">
        <v>35</v>
      </c>
      <c r="S13" s="2" t="s">
        <v>35</v>
      </c>
      <c r="T13" s="2" t="s">
        <v>35</v>
      </c>
    </row>
    <row r="14" ht="72" hidden="1" spans="1:20">
      <c r="A14" s="2" t="s">
        <v>111</v>
      </c>
      <c r="B14" s="2" t="s">
        <v>112</v>
      </c>
      <c r="C14" s="2" t="s">
        <v>113</v>
      </c>
      <c r="D14" s="2" t="s">
        <v>114</v>
      </c>
      <c r="E14" s="2" t="s">
        <v>115</v>
      </c>
      <c r="F14" s="2" t="s">
        <v>24</v>
      </c>
      <c r="G14" s="2" t="s">
        <v>116</v>
      </c>
      <c r="H14" s="9" t="s">
        <v>66</v>
      </c>
      <c r="I14" s="2" t="s">
        <v>117</v>
      </c>
      <c r="J14" s="2" t="s">
        <v>118</v>
      </c>
      <c r="K14" s="2" t="s">
        <v>119</v>
      </c>
      <c r="L14" s="2" t="s">
        <v>120</v>
      </c>
      <c r="M14" s="2" t="s">
        <v>121</v>
      </c>
      <c r="N14" s="2" t="s">
        <v>32</v>
      </c>
      <c r="O14" s="2" t="s">
        <v>122</v>
      </c>
      <c r="P14" s="2" t="s">
        <v>34</v>
      </c>
      <c r="Q14" s="2" t="s">
        <v>35</v>
      </c>
      <c r="R14" s="2" t="s">
        <v>35</v>
      </c>
      <c r="S14" s="2" t="s">
        <v>35</v>
      </c>
      <c r="T14" s="2" t="s">
        <v>35</v>
      </c>
    </row>
    <row r="15" ht="72" hidden="1" spans="1:20">
      <c r="A15" s="2" t="s">
        <v>123</v>
      </c>
      <c r="B15" s="2" t="s">
        <v>112</v>
      </c>
      <c r="C15" s="2" t="s">
        <v>113</v>
      </c>
      <c r="D15" s="2" t="s">
        <v>124</v>
      </c>
      <c r="E15" s="2" t="s">
        <v>39</v>
      </c>
      <c r="F15" s="2" t="s">
        <v>24</v>
      </c>
      <c r="G15" s="2" t="s">
        <v>40</v>
      </c>
      <c r="H15" s="9" t="s">
        <v>66</v>
      </c>
      <c r="I15" s="2" t="s">
        <v>125</v>
      </c>
      <c r="J15" s="2" t="s">
        <v>126</v>
      </c>
      <c r="K15" s="2" t="s">
        <v>127</v>
      </c>
      <c r="L15" s="2" t="s">
        <v>128</v>
      </c>
      <c r="M15" s="2" t="s">
        <v>121</v>
      </c>
      <c r="N15" s="2" t="s">
        <v>32</v>
      </c>
      <c r="O15" s="2" t="s">
        <v>129</v>
      </c>
      <c r="P15" s="2" t="s">
        <v>34</v>
      </c>
      <c r="Q15" s="2" t="s">
        <v>35</v>
      </c>
      <c r="R15" s="2" t="s">
        <v>35</v>
      </c>
      <c r="S15" s="2" t="s">
        <v>35</v>
      </c>
      <c r="T15" s="2" t="s">
        <v>35</v>
      </c>
    </row>
    <row r="16" ht="86.4" hidden="1" spans="1:20">
      <c r="A16" s="2" t="s">
        <v>130</v>
      </c>
      <c r="B16" s="2" t="s">
        <v>112</v>
      </c>
      <c r="C16" s="2" t="s">
        <v>113</v>
      </c>
      <c r="D16" s="2" t="s">
        <v>131</v>
      </c>
      <c r="E16" s="2" t="s">
        <v>115</v>
      </c>
      <c r="F16" s="2" t="s">
        <v>24</v>
      </c>
      <c r="G16" s="2" t="s">
        <v>116</v>
      </c>
      <c r="H16" s="9" t="s">
        <v>66</v>
      </c>
      <c r="I16" s="2" t="s">
        <v>132</v>
      </c>
      <c r="J16" s="2" t="s">
        <v>118</v>
      </c>
      <c r="K16" s="2" t="s">
        <v>133</v>
      </c>
      <c r="L16" s="2" t="s">
        <v>134</v>
      </c>
      <c r="M16" s="2"/>
      <c r="N16" s="2" t="s">
        <v>32</v>
      </c>
      <c r="O16" s="2" t="s">
        <v>135</v>
      </c>
      <c r="P16" s="3" t="s">
        <v>136</v>
      </c>
      <c r="Q16" s="2" t="s">
        <v>35</v>
      </c>
      <c r="R16" s="2" t="s">
        <v>35</v>
      </c>
      <c r="S16" s="2" t="s">
        <v>35</v>
      </c>
      <c r="T16" s="2" t="s">
        <v>35</v>
      </c>
    </row>
    <row r="17" ht="100.8" hidden="1" spans="1:20">
      <c r="A17" s="2" t="s">
        <v>137</v>
      </c>
      <c r="B17" s="2" t="s">
        <v>112</v>
      </c>
      <c r="C17" s="2" t="s">
        <v>113</v>
      </c>
      <c r="D17" s="2" t="s">
        <v>138</v>
      </c>
      <c r="E17" s="2" t="s">
        <v>39</v>
      </c>
      <c r="F17" s="2" t="s">
        <v>139</v>
      </c>
      <c r="G17" s="2" t="s">
        <v>140</v>
      </c>
      <c r="H17" s="9" t="s">
        <v>66</v>
      </c>
      <c r="I17" s="2" t="s">
        <v>141</v>
      </c>
      <c r="J17" s="2" t="s">
        <v>142</v>
      </c>
      <c r="K17" s="2" t="s">
        <v>143</v>
      </c>
      <c r="L17" s="2" t="s">
        <v>144</v>
      </c>
      <c r="M17" s="2"/>
      <c r="N17" s="2" t="s">
        <v>32</v>
      </c>
      <c r="O17" s="2" t="s">
        <v>145</v>
      </c>
      <c r="P17" s="3" t="s">
        <v>146</v>
      </c>
      <c r="Q17" s="2" t="s">
        <v>35</v>
      </c>
      <c r="R17" s="2" t="s">
        <v>35</v>
      </c>
      <c r="S17" s="2" t="s">
        <v>35</v>
      </c>
      <c r="T17" s="2" t="s">
        <v>35</v>
      </c>
    </row>
    <row r="18" ht="86.4" hidden="1" spans="1:20">
      <c r="A18" s="2" t="s">
        <v>147</v>
      </c>
      <c r="B18" s="2" t="s">
        <v>112</v>
      </c>
      <c r="C18" s="2" t="s">
        <v>113</v>
      </c>
      <c r="D18" s="2" t="s">
        <v>148</v>
      </c>
      <c r="E18" s="2" t="s">
        <v>104</v>
      </c>
      <c r="F18" s="2" t="s">
        <v>24</v>
      </c>
      <c r="G18" s="2" t="s">
        <v>116</v>
      </c>
      <c r="H18" s="9" t="s">
        <v>66</v>
      </c>
      <c r="I18" s="2" t="s">
        <v>149</v>
      </c>
      <c r="J18" s="2" t="s">
        <v>150</v>
      </c>
      <c r="K18" s="2" t="s">
        <v>151</v>
      </c>
      <c r="L18" s="2" t="s">
        <v>152</v>
      </c>
      <c r="M18" s="2" t="s">
        <v>121</v>
      </c>
      <c r="N18" s="2" t="s">
        <v>32</v>
      </c>
      <c r="O18" s="2" t="s">
        <v>153</v>
      </c>
      <c r="P18" s="3" t="s">
        <v>154</v>
      </c>
      <c r="Q18" s="2" t="s">
        <v>35</v>
      </c>
      <c r="R18" s="2" t="s">
        <v>35</v>
      </c>
      <c r="S18" s="2" t="s">
        <v>35</v>
      </c>
      <c r="T18" s="2" t="s">
        <v>35</v>
      </c>
    </row>
    <row r="19" ht="72" hidden="1" spans="1:20">
      <c r="A19" s="2" t="s">
        <v>155</v>
      </c>
      <c r="B19" s="2" t="s">
        <v>112</v>
      </c>
      <c r="C19" s="2" t="s">
        <v>113</v>
      </c>
      <c r="D19" s="2" t="s">
        <v>156</v>
      </c>
      <c r="E19" s="2" t="s">
        <v>115</v>
      </c>
      <c r="F19" s="2" t="s">
        <v>24</v>
      </c>
      <c r="G19" s="2" t="s">
        <v>116</v>
      </c>
      <c r="H19" s="8" t="s">
        <v>41</v>
      </c>
      <c r="I19" s="2" t="s">
        <v>157</v>
      </c>
      <c r="J19" s="2" t="s">
        <v>28</v>
      </c>
      <c r="K19" s="2" t="s">
        <v>158</v>
      </c>
      <c r="L19" s="2" t="s">
        <v>159</v>
      </c>
      <c r="M19" s="2" t="s">
        <v>121</v>
      </c>
      <c r="N19" s="2" t="s">
        <v>32</v>
      </c>
      <c r="O19" s="2" t="s">
        <v>35</v>
      </c>
      <c r="P19" s="2" t="s">
        <v>34</v>
      </c>
      <c r="Q19" s="2" t="s">
        <v>35</v>
      </c>
      <c r="R19" s="2" t="s">
        <v>35</v>
      </c>
      <c r="S19" s="2" t="s">
        <v>35</v>
      </c>
      <c r="T19" s="2" t="s">
        <v>35</v>
      </c>
    </row>
    <row r="20" ht="57.6" hidden="1" spans="1:20">
      <c r="A20" s="2" t="s">
        <v>160</v>
      </c>
      <c r="B20" s="2" t="s">
        <v>112</v>
      </c>
      <c r="C20" s="2" t="s">
        <v>161</v>
      </c>
      <c r="D20" s="2" t="s">
        <v>162</v>
      </c>
      <c r="E20" s="2" t="s">
        <v>39</v>
      </c>
      <c r="F20" s="2" t="s">
        <v>163</v>
      </c>
      <c r="G20" s="2" t="s">
        <v>40</v>
      </c>
      <c r="H20" s="9" t="s">
        <v>66</v>
      </c>
      <c r="I20" s="2" t="s">
        <v>164</v>
      </c>
      <c r="J20" s="2" t="s">
        <v>165</v>
      </c>
      <c r="K20" s="2" t="s">
        <v>166</v>
      </c>
      <c r="L20" s="2" t="s">
        <v>167</v>
      </c>
      <c r="M20" s="2"/>
      <c r="N20" s="2" t="s">
        <v>32</v>
      </c>
      <c r="O20" s="2" t="s">
        <v>168</v>
      </c>
      <c r="P20" s="2" t="s">
        <v>34</v>
      </c>
      <c r="Q20" s="2" t="s">
        <v>35</v>
      </c>
      <c r="R20" s="2" t="s">
        <v>35</v>
      </c>
      <c r="S20" s="2" t="s">
        <v>35</v>
      </c>
      <c r="T20" s="2" t="s">
        <v>35</v>
      </c>
    </row>
    <row r="21" ht="57.6" hidden="1" spans="1:20">
      <c r="A21" s="2" t="s">
        <v>169</v>
      </c>
      <c r="B21" s="2" t="s">
        <v>112</v>
      </c>
      <c r="C21" s="2" t="s">
        <v>113</v>
      </c>
      <c r="D21" s="2" t="s">
        <v>170</v>
      </c>
      <c r="E21" s="2" t="s">
        <v>39</v>
      </c>
      <c r="F21" s="2" t="s">
        <v>163</v>
      </c>
      <c r="G21" s="2" t="s">
        <v>40</v>
      </c>
      <c r="H21" s="9" t="s">
        <v>66</v>
      </c>
      <c r="I21" s="2" t="s">
        <v>171</v>
      </c>
      <c r="J21" s="2" t="s">
        <v>165</v>
      </c>
      <c r="K21" s="2" t="s">
        <v>166</v>
      </c>
      <c r="L21" s="2" t="s">
        <v>172</v>
      </c>
      <c r="M21" s="2"/>
      <c r="N21" s="2" t="s">
        <v>32</v>
      </c>
      <c r="O21" s="2" t="s">
        <v>168</v>
      </c>
      <c r="P21" s="2" t="s">
        <v>34</v>
      </c>
      <c r="Q21" s="2" t="s">
        <v>35</v>
      </c>
      <c r="R21" s="2" t="s">
        <v>35</v>
      </c>
      <c r="S21" s="2" t="s">
        <v>35</v>
      </c>
      <c r="T21" s="2" t="s">
        <v>35</v>
      </c>
    </row>
    <row r="22" ht="72" hidden="1" spans="1:20">
      <c r="A22" s="2" t="s">
        <v>173</v>
      </c>
      <c r="B22" s="2" t="s">
        <v>112</v>
      </c>
      <c r="C22" s="2" t="s">
        <v>113</v>
      </c>
      <c r="D22" s="2" t="s">
        <v>174</v>
      </c>
      <c r="E22" s="2" t="s">
        <v>39</v>
      </c>
      <c r="F22" s="2" t="s">
        <v>163</v>
      </c>
      <c r="G22" s="2" t="s">
        <v>40</v>
      </c>
      <c r="H22" s="9" t="s">
        <v>66</v>
      </c>
      <c r="I22" s="2" t="s">
        <v>175</v>
      </c>
      <c r="J22" s="2" t="s">
        <v>176</v>
      </c>
      <c r="K22" s="2" t="s">
        <v>177</v>
      </c>
      <c r="L22" s="2" t="s">
        <v>178</v>
      </c>
      <c r="M22" s="2"/>
      <c r="N22" s="2" t="s">
        <v>32</v>
      </c>
      <c r="O22" s="2" t="s">
        <v>179</v>
      </c>
      <c r="P22" s="10" t="s">
        <v>180</v>
      </c>
      <c r="Q22" s="2" t="s">
        <v>35</v>
      </c>
      <c r="R22" s="2" t="s">
        <v>35</v>
      </c>
      <c r="S22" s="2" t="s">
        <v>35</v>
      </c>
      <c r="T22" s="2" t="s">
        <v>35</v>
      </c>
    </row>
    <row r="23" ht="72" hidden="1" spans="1:20">
      <c r="A23" s="2" t="s">
        <v>181</v>
      </c>
      <c r="B23" s="2" t="s">
        <v>112</v>
      </c>
      <c r="C23" s="2" t="s">
        <v>113</v>
      </c>
      <c r="D23" s="2" t="s">
        <v>182</v>
      </c>
      <c r="E23" s="2" t="s">
        <v>39</v>
      </c>
      <c r="F23" s="2" t="s">
        <v>163</v>
      </c>
      <c r="G23" s="2" t="s">
        <v>40</v>
      </c>
      <c r="H23" s="8" t="s">
        <v>41</v>
      </c>
      <c r="I23" s="2" t="s">
        <v>183</v>
      </c>
      <c r="J23" s="2" t="s">
        <v>176</v>
      </c>
      <c r="K23" s="2" t="s">
        <v>184</v>
      </c>
      <c r="L23" s="2" t="s">
        <v>185</v>
      </c>
      <c r="M23" s="2"/>
      <c r="N23" s="2" t="s">
        <v>32</v>
      </c>
      <c r="O23" s="2" t="s">
        <v>186</v>
      </c>
      <c r="P23" s="10" t="s">
        <v>187</v>
      </c>
      <c r="Q23" s="2" t="s">
        <v>35</v>
      </c>
      <c r="R23" s="2" t="s">
        <v>35</v>
      </c>
      <c r="S23" s="2" t="s">
        <v>35</v>
      </c>
      <c r="T23" s="2" t="s">
        <v>35</v>
      </c>
    </row>
    <row r="24" ht="72" hidden="1" spans="1:20">
      <c r="A24" s="2" t="s">
        <v>188</v>
      </c>
      <c r="B24" s="2" t="s">
        <v>112</v>
      </c>
      <c r="C24" s="2" t="s">
        <v>113</v>
      </c>
      <c r="D24" s="2" t="s">
        <v>189</v>
      </c>
      <c r="E24" s="2" t="s">
        <v>39</v>
      </c>
      <c r="F24" s="2" t="s">
        <v>76</v>
      </c>
      <c r="G24" s="2" t="s">
        <v>77</v>
      </c>
      <c r="H24" s="8" t="s">
        <v>41</v>
      </c>
      <c r="I24" s="2" t="s">
        <v>190</v>
      </c>
      <c r="J24" s="2" t="s">
        <v>150</v>
      </c>
      <c r="K24" s="2" t="s">
        <v>191</v>
      </c>
      <c r="L24" s="2" t="s">
        <v>192</v>
      </c>
      <c r="M24" s="2"/>
      <c r="N24" s="2" t="s">
        <v>32</v>
      </c>
      <c r="O24" s="2" t="s">
        <v>193</v>
      </c>
      <c r="P24" s="10" t="s">
        <v>180</v>
      </c>
      <c r="Q24" s="2" t="s">
        <v>35</v>
      </c>
      <c r="R24" s="2" t="s">
        <v>35</v>
      </c>
      <c r="S24" s="2" t="s">
        <v>35</v>
      </c>
      <c r="T24" s="2" t="s">
        <v>35</v>
      </c>
    </row>
    <row r="25" ht="100.8" hidden="1" spans="1:20">
      <c r="A25" s="2" t="s">
        <v>194</v>
      </c>
      <c r="B25" s="2" t="s">
        <v>112</v>
      </c>
      <c r="C25" s="2" t="s">
        <v>113</v>
      </c>
      <c r="D25" s="2" t="s">
        <v>195</v>
      </c>
      <c r="E25" s="2" t="s">
        <v>39</v>
      </c>
      <c r="F25" s="2" t="s">
        <v>76</v>
      </c>
      <c r="G25" s="2" t="s">
        <v>77</v>
      </c>
      <c r="H25" s="8" t="s">
        <v>41</v>
      </c>
      <c r="I25" s="2" t="s">
        <v>196</v>
      </c>
      <c r="J25" s="2" t="s">
        <v>197</v>
      </c>
      <c r="K25" s="2" t="s">
        <v>198</v>
      </c>
      <c r="L25" s="2" t="s">
        <v>199</v>
      </c>
      <c r="M25" s="2"/>
      <c r="N25" s="2" t="s">
        <v>32</v>
      </c>
      <c r="O25" s="2" t="s">
        <v>35</v>
      </c>
      <c r="P25" s="10" t="s">
        <v>180</v>
      </c>
      <c r="Q25" s="2" t="s">
        <v>35</v>
      </c>
      <c r="R25" s="2" t="s">
        <v>35</v>
      </c>
      <c r="S25" s="2" t="s">
        <v>35</v>
      </c>
      <c r="T25" s="2" t="s">
        <v>35</v>
      </c>
    </row>
    <row r="26" ht="86.4" hidden="1" spans="1:20">
      <c r="A26" s="2" t="s">
        <v>200</v>
      </c>
      <c r="B26" s="2" t="s">
        <v>112</v>
      </c>
      <c r="C26" s="2" t="s">
        <v>113</v>
      </c>
      <c r="D26" s="2" t="s">
        <v>201</v>
      </c>
      <c r="E26" s="2" t="s">
        <v>115</v>
      </c>
      <c r="F26" s="2" t="s">
        <v>163</v>
      </c>
      <c r="G26" s="2" t="s">
        <v>116</v>
      </c>
      <c r="H26" s="9" t="s">
        <v>66</v>
      </c>
      <c r="I26" s="2" t="s">
        <v>202</v>
      </c>
      <c r="J26" s="2" t="s">
        <v>203</v>
      </c>
      <c r="K26" s="2" t="s">
        <v>204</v>
      </c>
      <c r="L26" s="2" t="s">
        <v>205</v>
      </c>
      <c r="M26" s="2"/>
      <c r="N26" s="2" t="s">
        <v>32</v>
      </c>
      <c r="O26" s="2" t="s">
        <v>206</v>
      </c>
      <c r="P26" s="2" t="s">
        <v>34</v>
      </c>
      <c r="Q26" s="2" t="s">
        <v>35</v>
      </c>
      <c r="R26" s="2" t="s">
        <v>35</v>
      </c>
      <c r="S26" s="2" t="s">
        <v>35</v>
      </c>
      <c r="T26" s="2" t="s">
        <v>35</v>
      </c>
    </row>
    <row r="27" ht="72" hidden="1" spans="1:20">
      <c r="A27" s="2" t="s">
        <v>207</v>
      </c>
      <c r="B27" s="2" t="s">
        <v>112</v>
      </c>
      <c r="C27" s="2" t="s">
        <v>113</v>
      </c>
      <c r="D27" s="2" t="s">
        <v>208</v>
      </c>
      <c r="E27" s="2" t="s">
        <v>115</v>
      </c>
      <c r="F27" s="2" t="s">
        <v>163</v>
      </c>
      <c r="G27" s="2" t="s">
        <v>116</v>
      </c>
      <c r="H27" s="9" t="s">
        <v>66</v>
      </c>
      <c r="I27" s="2" t="s">
        <v>209</v>
      </c>
      <c r="J27" s="2" t="s">
        <v>210</v>
      </c>
      <c r="K27" s="2" t="s">
        <v>211</v>
      </c>
      <c r="L27" s="2" t="s">
        <v>212</v>
      </c>
      <c r="M27" s="2"/>
      <c r="N27" s="2" t="s">
        <v>32</v>
      </c>
      <c r="O27" s="2" t="s">
        <v>213</v>
      </c>
      <c r="P27" s="2" t="s">
        <v>34</v>
      </c>
      <c r="Q27" s="2" t="s">
        <v>35</v>
      </c>
      <c r="R27" s="2" t="s">
        <v>35</v>
      </c>
      <c r="S27" s="2" t="s">
        <v>35</v>
      </c>
      <c r="T27" s="2" t="s">
        <v>35</v>
      </c>
    </row>
    <row r="28" ht="43.2" hidden="1" spans="1:20">
      <c r="A28" s="2" t="s">
        <v>214</v>
      </c>
      <c r="B28" s="2" t="s">
        <v>112</v>
      </c>
      <c r="C28" s="2" t="s">
        <v>215</v>
      </c>
      <c r="D28" s="2" t="s">
        <v>216</v>
      </c>
      <c r="E28" s="2" t="s">
        <v>115</v>
      </c>
      <c r="F28" s="2" t="s">
        <v>163</v>
      </c>
      <c r="G28" s="2" t="s">
        <v>116</v>
      </c>
      <c r="H28" s="9" t="s">
        <v>66</v>
      </c>
      <c r="I28" s="2" t="s">
        <v>217</v>
      </c>
      <c r="J28" s="2" t="s">
        <v>218</v>
      </c>
      <c r="K28" s="2" t="s">
        <v>219</v>
      </c>
      <c r="L28" s="2" t="s">
        <v>220</v>
      </c>
      <c r="M28" s="2"/>
      <c r="N28" s="2" t="s">
        <v>32</v>
      </c>
      <c r="O28" s="2" t="s">
        <v>221</v>
      </c>
      <c r="P28" s="2" t="s">
        <v>34</v>
      </c>
      <c r="Q28" s="2" t="s">
        <v>35</v>
      </c>
      <c r="R28" s="2" t="s">
        <v>35</v>
      </c>
      <c r="S28" s="2" t="s">
        <v>35</v>
      </c>
      <c r="T28" s="2" t="s">
        <v>35</v>
      </c>
    </row>
    <row r="29" ht="72" hidden="1" spans="1:20">
      <c r="A29" s="2" t="s">
        <v>222</v>
      </c>
      <c r="B29" s="2" t="s">
        <v>112</v>
      </c>
      <c r="C29" s="2" t="s">
        <v>113</v>
      </c>
      <c r="D29" s="2" t="s">
        <v>223</v>
      </c>
      <c r="E29" s="2" t="s">
        <v>39</v>
      </c>
      <c r="F29" s="2" t="s">
        <v>139</v>
      </c>
      <c r="G29" s="2" t="s">
        <v>40</v>
      </c>
      <c r="H29" s="8" t="s">
        <v>41</v>
      </c>
      <c r="I29" s="2" t="s">
        <v>224</v>
      </c>
      <c r="J29" s="2" t="s">
        <v>176</v>
      </c>
      <c r="K29" s="2" t="s">
        <v>225</v>
      </c>
      <c r="L29" s="2" t="s">
        <v>226</v>
      </c>
      <c r="M29" s="2"/>
      <c r="N29" s="2" t="s">
        <v>32</v>
      </c>
      <c r="O29" s="2" t="s">
        <v>227</v>
      </c>
      <c r="P29" s="10" t="s">
        <v>180</v>
      </c>
      <c r="Q29" s="2" t="s">
        <v>35</v>
      </c>
      <c r="R29" s="2" t="s">
        <v>35</v>
      </c>
      <c r="S29" s="2" t="s">
        <v>35</v>
      </c>
      <c r="T29" s="2" t="s">
        <v>35</v>
      </c>
    </row>
    <row r="30" ht="57.6" hidden="1" spans="1:20">
      <c r="A30" s="2" t="s">
        <v>228</v>
      </c>
      <c r="B30" s="2" t="s">
        <v>112</v>
      </c>
      <c r="C30" s="2" t="s">
        <v>229</v>
      </c>
      <c r="D30" s="2" t="s">
        <v>230</v>
      </c>
      <c r="E30" s="2" t="s">
        <v>23</v>
      </c>
      <c r="F30" s="2" t="s">
        <v>24</v>
      </c>
      <c r="G30" s="2" t="s">
        <v>116</v>
      </c>
      <c r="H30" s="8" t="s">
        <v>41</v>
      </c>
      <c r="I30" s="2" t="s">
        <v>231</v>
      </c>
      <c r="J30" s="2" t="s">
        <v>232</v>
      </c>
      <c r="K30" s="2" t="s">
        <v>233</v>
      </c>
      <c r="L30" s="2" t="s">
        <v>234</v>
      </c>
      <c r="M30" s="2"/>
      <c r="N30" s="2" t="s">
        <v>32</v>
      </c>
      <c r="O30" s="2" t="s">
        <v>35</v>
      </c>
      <c r="P30" s="2" t="s">
        <v>34</v>
      </c>
      <c r="Q30" s="2" t="s">
        <v>35</v>
      </c>
      <c r="R30" s="2" t="s">
        <v>35</v>
      </c>
      <c r="S30" s="2" t="s">
        <v>35</v>
      </c>
      <c r="T30" s="2" t="s">
        <v>35</v>
      </c>
    </row>
    <row r="31" ht="57.6" hidden="1" spans="1:20">
      <c r="A31" s="2" t="s">
        <v>235</v>
      </c>
      <c r="B31" s="2" t="s">
        <v>112</v>
      </c>
      <c r="C31" s="2" t="s">
        <v>113</v>
      </c>
      <c r="D31" s="2" t="s">
        <v>236</v>
      </c>
      <c r="E31" s="2" t="s">
        <v>115</v>
      </c>
      <c r="F31" s="2" t="s">
        <v>139</v>
      </c>
      <c r="G31" s="2" t="s">
        <v>105</v>
      </c>
      <c r="H31" s="8" t="s">
        <v>41</v>
      </c>
      <c r="I31" s="2" t="s">
        <v>237</v>
      </c>
      <c r="J31" s="2" t="s">
        <v>28</v>
      </c>
      <c r="K31" s="2" t="s">
        <v>238</v>
      </c>
      <c r="L31" s="2" t="s">
        <v>239</v>
      </c>
      <c r="M31" s="2" t="s">
        <v>121</v>
      </c>
      <c r="N31" s="2" t="s">
        <v>32</v>
      </c>
      <c r="O31" s="2" t="s">
        <v>35</v>
      </c>
      <c r="P31" s="2" t="s">
        <v>34</v>
      </c>
      <c r="Q31" s="2" t="s">
        <v>35</v>
      </c>
      <c r="R31" s="2" t="s">
        <v>35</v>
      </c>
      <c r="S31" s="2" t="s">
        <v>35</v>
      </c>
      <c r="T31" s="2" t="s">
        <v>35</v>
      </c>
    </row>
    <row r="32" ht="100.8" hidden="1" spans="1:20">
      <c r="A32" s="2" t="s">
        <v>240</v>
      </c>
      <c r="B32" s="2" t="s">
        <v>112</v>
      </c>
      <c r="C32" s="2" t="s">
        <v>102</v>
      </c>
      <c r="D32" s="2" t="s">
        <v>241</v>
      </c>
      <c r="E32" s="2" t="s">
        <v>104</v>
      </c>
      <c r="F32" s="2" t="s">
        <v>139</v>
      </c>
      <c r="G32" s="2" t="s">
        <v>105</v>
      </c>
      <c r="H32" s="7" t="s">
        <v>26</v>
      </c>
      <c r="I32" s="2" t="s">
        <v>242</v>
      </c>
      <c r="J32" s="2" t="s">
        <v>150</v>
      </c>
      <c r="K32" s="2" t="s">
        <v>243</v>
      </c>
      <c r="L32" s="2" t="s">
        <v>244</v>
      </c>
      <c r="M32" s="2"/>
      <c r="N32" s="2" t="s">
        <v>32</v>
      </c>
      <c r="O32" s="2" t="s">
        <v>35</v>
      </c>
      <c r="P32" s="10" t="s">
        <v>180</v>
      </c>
      <c r="Q32" s="2" t="s">
        <v>35</v>
      </c>
      <c r="R32" s="2" t="s">
        <v>35</v>
      </c>
      <c r="S32" s="2" t="s">
        <v>35</v>
      </c>
      <c r="T32" s="2" t="s">
        <v>35</v>
      </c>
    </row>
    <row r="33" ht="115.2" hidden="1" spans="1:20">
      <c r="A33" s="2" t="s">
        <v>245</v>
      </c>
      <c r="B33" s="2" t="s">
        <v>112</v>
      </c>
      <c r="C33" s="2" t="s">
        <v>113</v>
      </c>
      <c r="D33" s="2" t="s">
        <v>246</v>
      </c>
      <c r="E33" s="2" t="s">
        <v>115</v>
      </c>
      <c r="F33" s="2" t="s">
        <v>139</v>
      </c>
      <c r="G33" s="2" t="s">
        <v>140</v>
      </c>
      <c r="H33" s="9" t="s">
        <v>66</v>
      </c>
      <c r="I33" s="2" t="s">
        <v>247</v>
      </c>
      <c r="J33" s="2" t="s">
        <v>248</v>
      </c>
      <c r="K33" s="2" t="s">
        <v>249</v>
      </c>
      <c r="L33" s="2" t="s">
        <v>250</v>
      </c>
      <c r="M33" s="2"/>
      <c r="N33" s="2" t="s">
        <v>32</v>
      </c>
      <c r="O33" s="2" t="s">
        <v>251</v>
      </c>
      <c r="P33" s="2" t="s">
        <v>34</v>
      </c>
      <c r="Q33" s="2" t="s">
        <v>35</v>
      </c>
      <c r="R33" s="2" t="s">
        <v>35</v>
      </c>
      <c r="S33" s="2" t="s">
        <v>35</v>
      </c>
      <c r="T33" s="2" t="s">
        <v>35</v>
      </c>
    </row>
    <row r="34" ht="86.4" hidden="1" spans="1:20">
      <c r="A34" s="2" t="s">
        <v>252</v>
      </c>
      <c r="B34" s="2" t="s">
        <v>112</v>
      </c>
      <c r="C34" s="2" t="s">
        <v>215</v>
      </c>
      <c r="D34" s="2" t="s">
        <v>253</v>
      </c>
      <c r="E34" s="2" t="s">
        <v>39</v>
      </c>
      <c r="F34" s="2" t="s">
        <v>24</v>
      </c>
      <c r="G34" s="2" t="s">
        <v>116</v>
      </c>
      <c r="H34" s="8" t="s">
        <v>41</v>
      </c>
      <c r="I34" s="2" t="s">
        <v>254</v>
      </c>
      <c r="J34" s="2" t="s">
        <v>118</v>
      </c>
      <c r="K34" s="2" t="s">
        <v>255</v>
      </c>
      <c r="L34" s="2" t="s">
        <v>256</v>
      </c>
      <c r="M34" s="2"/>
      <c r="N34" s="2" t="s">
        <v>32</v>
      </c>
      <c r="O34" s="2" t="s">
        <v>257</v>
      </c>
      <c r="P34" s="2" t="s">
        <v>34</v>
      </c>
      <c r="Q34" s="2" t="s">
        <v>35</v>
      </c>
      <c r="R34" s="2" t="s">
        <v>35</v>
      </c>
      <c r="S34" s="2" t="s">
        <v>35</v>
      </c>
      <c r="T34" s="2" t="s">
        <v>35</v>
      </c>
    </row>
    <row r="35" ht="86.4" hidden="1" spans="1:20">
      <c r="A35" s="2" t="s">
        <v>258</v>
      </c>
      <c r="B35" s="2" t="s">
        <v>112</v>
      </c>
      <c r="C35" s="2" t="s">
        <v>113</v>
      </c>
      <c r="D35" s="2" t="s">
        <v>259</v>
      </c>
      <c r="E35" s="2" t="s">
        <v>39</v>
      </c>
      <c r="F35" s="2" t="s">
        <v>76</v>
      </c>
      <c r="G35" s="2" t="s">
        <v>77</v>
      </c>
      <c r="H35" s="8" t="s">
        <v>41</v>
      </c>
      <c r="I35" s="2" t="s">
        <v>260</v>
      </c>
      <c r="J35" s="2" t="s">
        <v>261</v>
      </c>
      <c r="K35" s="2" t="s">
        <v>262</v>
      </c>
      <c r="L35" s="2" t="s">
        <v>263</v>
      </c>
      <c r="M35" s="2"/>
      <c r="N35" s="2" t="s">
        <v>32</v>
      </c>
      <c r="O35" s="2" t="s">
        <v>264</v>
      </c>
      <c r="P35" s="10" t="s">
        <v>180</v>
      </c>
      <c r="Q35" s="2" t="s">
        <v>35</v>
      </c>
      <c r="R35" s="2" t="s">
        <v>35</v>
      </c>
      <c r="S35" s="2" t="s">
        <v>35</v>
      </c>
      <c r="T35" s="2" t="s">
        <v>35</v>
      </c>
    </row>
    <row r="36" ht="86.4" hidden="1" spans="1:20">
      <c r="A36" s="2" t="s">
        <v>265</v>
      </c>
      <c r="B36" s="2" t="s">
        <v>112</v>
      </c>
      <c r="C36" s="2" t="s">
        <v>113</v>
      </c>
      <c r="D36" s="2" t="s">
        <v>266</v>
      </c>
      <c r="E36" s="2" t="s">
        <v>115</v>
      </c>
      <c r="F36" s="2" t="s">
        <v>163</v>
      </c>
      <c r="G36" s="2" t="s">
        <v>116</v>
      </c>
      <c r="H36" s="9" t="s">
        <v>66</v>
      </c>
      <c r="I36" s="2" t="s">
        <v>267</v>
      </c>
      <c r="J36" s="2" t="s">
        <v>268</v>
      </c>
      <c r="K36" s="2" t="s">
        <v>269</v>
      </c>
      <c r="L36" s="2" t="s">
        <v>270</v>
      </c>
      <c r="M36" s="2"/>
      <c r="N36" s="2" t="s">
        <v>32</v>
      </c>
      <c r="O36" s="2" t="s">
        <v>271</v>
      </c>
      <c r="P36" s="2" t="s">
        <v>34</v>
      </c>
      <c r="Q36" s="2" t="s">
        <v>35</v>
      </c>
      <c r="R36" s="2" t="s">
        <v>35</v>
      </c>
      <c r="S36" s="2" t="s">
        <v>35</v>
      </c>
      <c r="T36" s="2" t="s">
        <v>35</v>
      </c>
    </row>
    <row r="37" ht="100.8" hidden="1" spans="1:20">
      <c r="A37" s="2" t="s">
        <v>272</v>
      </c>
      <c r="B37" s="2" t="s">
        <v>273</v>
      </c>
      <c r="C37" s="2" t="s">
        <v>274</v>
      </c>
      <c r="D37" s="2" t="s">
        <v>275</v>
      </c>
      <c r="E37" s="2" t="s">
        <v>39</v>
      </c>
      <c r="F37" s="2" t="s">
        <v>24</v>
      </c>
      <c r="G37" s="2" t="s">
        <v>40</v>
      </c>
      <c r="H37" s="9" t="s">
        <v>66</v>
      </c>
      <c r="I37" s="2" t="s">
        <v>125</v>
      </c>
      <c r="J37" s="2" t="s">
        <v>276</v>
      </c>
      <c r="K37" s="2" t="s">
        <v>277</v>
      </c>
      <c r="L37" s="2" t="s">
        <v>278</v>
      </c>
      <c r="M37" s="2" t="s">
        <v>45</v>
      </c>
      <c r="N37" s="2" t="s">
        <v>32</v>
      </c>
      <c r="O37" s="2" t="s">
        <v>279</v>
      </c>
      <c r="P37" s="2" t="s">
        <v>34</v>
      </c>
      <c r="Q37" s="2" t="s">
        <v>35</v>
      </c>
      <c r="R37" s="2" t="s">
        <v>35</v>
      </c>
      <c r="S37" s="2" t="s">
        <v>35</v>
      </c>
      <c r="T37" s="2" t="s">
        <v>35</v>
      </c>
    </row>
    <row r="38" ht="72" hidden="1" spans="1:20">
      <c r="A38" s="2" t="s">
        <v>280</v>
      </c>
      <c r="B38" s="2" t="s">
        <v>273</v>
      </c>
      <c r="C38" s="2" t="s">
        <v>274</v>
      </c>
      <c r="D38" s="2" t="s">
        <v>281</v>
      </c>
      <c r="E38" s="2" t="s">
        <v>39</v>
      </c>
      <c r="F38" s="2" t="s">
        <v>24</v>
      </c>
      <c r="G38" s="2" t="s">
        <v>40</v>
      </c>
      <c r="H38" s="9" t="s">
        <v>66</v>
      </c>
      <c r="I38" s="2" t="s">
        <v>282</v>
      </c>
      <c r="J38" s="2" t="s">
        <v>165</v>
      </c>
      <c r="K38" s="2" t="s">
        <v>283</v>
      </c>
      <c r="L38" s="2" t="s">
        <v>284</v>
      </c>
      <c r="M38" s="2" t="s">
        <v>45</v>
      </c>
      <c r="N38" s="2" t="s">
        <v>32</v>
      </c>
      <c r="O38" s="2" t="s">
        <v>285</v>
      </c>
      <c r="P38" s="3" t="s">
        <v>286</v>
      </c>
      <c r="Q38" s="2" t="s">
        <v>35</v>
      </c>
      <c r="R38" s="2" t="s">
        <v>35</v>
      </c>
      <c r="S38" s="2" t="s">
        <v>35</v>
      </c>
      <c r="T38" s="2" t="s">
        <v>35</v>
      </c>
    </row>
    <row r="39" ht="72" hidden="1" spans="1:20">
      <c r="A39" s="2" t="s">
        <v>287</v>
      </c>
      <c r="B39" s="2" t="s">
        <v>273</v>
      </c>
      <c r="C39" s="2" t="s">
        <v>288</v>
      </c>
      <c r="D39" s="2" t="s">
        <v>289</v>
      </c>
      <c r="E39" s="2" t="s">
        <v>39</v>
      </c>
      <c r="F39" s="2" t="s">
        <v>139</v>
      </c>
      <c r="G39" s="2" t="s">
        <v>140</v>
      </c>
      <c r="H39" s="9" t="s">
        <v>66</v>
      </c>
      <c r="I39" s="2" t="s">
        <v>290</v>
      </c>
      <c r="J39" s="2" t="s">
        <v>291</v>
      </c>
      <c r="K39" s="2" t="s">
        <v>292</v>
      </c>
      <c r="L39" s="2" t="s">
        <v>293</v>
      </c>
      <c r="M39" s="2" t="s">
        <v>45</v>
      </c>
      <c r="N39" s="2" t="s">
        <v>32</v>
      </c>
      <c r="O39" s="2" t="s">
        <v>294</v>
      </c>
      <c r="P39" s="2" t="s">
        <v>34</v>
      </c>
      <c r="Q39" s="2" t="s">
        <v>35</v>
      </c>
      <c r="R39" s="2" t="s">
        <v>35</v>
      </c>
      <c r="S39" s="2" t="s">
        <v>35</v>
      </c>
      <c r="T39" s="2" t="s">
        <v>35</v>
      </c>
    </row>
    <row r="40" ht="57.6" hidden="1" spans="1:20">
      <c r="A40" s="2" t="s">
        <v>295</v>
      </c>
      <c r="B40" s="2" t="s">
        <v>273</v>
      </c>
      <c r="C40" s="2" t="s">
        <v>296</v>
      </c>
      <c r="D40" s="2" t="s">
        <v>297</v>
      </c>
      <c r="E40" s="2" t="s">
        <v>39</v>
      </c>
      <c r="F40" s="2" t="s">
        <v>139</v>
      </c>
      <c r="G40" s="2" t="s">
        <v>40</v>
      </c>
      <c r="H40" s="9" t="s">
        <v>66</v>
      </c>
      <c r="I40" s="2" t="s">
        <v>125</v>
      </c>
      <c r="J40" s="2" t="s">
        <v>298</v>
      </c>
      <c r="K40" s="2" t="s">
        <v>299</v>
      </c>
      <c r="L40" s="2" t="s">
        <v>300</v>
      </c>
      <c r="M40" s="2" t="s">
        <v>45</v>
      </c>
      <c r="N40" s="2" t="s">
        <v>32</v>
      </c>
      <c r="O40" s="2" t="s">
        <v>301</v>
      </c>
      <c r="P40" s="2" t="s">
        <v>34</v>
      </c>
      <c r="Q40" s="2" t="s">
        <v>35</v>
      </c>
      <c r="R40" s="2" t="s">
        <v>35</v>
      </c>
      <c r="S40" s="2" t="s">
        <v>35</v>
      </c>
      <c r="T40" s="2" t="s">
        <v>35</v>
      </c>
    </row>
    <row r="41" ht="72" hidden="1" spans="1:20">
      <c r="A41" s="2" t="s">
        <v>302</v>
      </c>
      <c r="B41" s="2" t="s">
        <v>273</v>
      </c>
      <c r="C41" s="2" t="s">
        <v>274</v>
      </c>
      <c r="D41" s="2" t="s">
        <v>303</v>
      </c>
      <c r="E41" s="2" t="s">
        <v>39</v>
      </c>
      <c r="F41" s="2" t="s">
        <v>24</v>
      </c>
      <c r="G41" s="2" t="s">
        <v>40</v>
      </c>
      <c r="H41" s="8" t="s">
        <v>41</v>
      </c>
      <c r="I41" s="2" t="s">
        <v>304</v>
      </c>
      <c r="J41" s="2" t="s">
        <v>126</v>
      </c>
      <c r="K41" s="2" t="s">
        <v>305</v>
      </c>
      <c r="L41" s="2" t="s">
        <v>306</v>
      </c>
      <c r="M41" s="2" t="s">
        <v>45</v>
      </c>
      <c r="N41" s="2" t="s">
        <v>32</v>
      </c>
      <c r="O41" s="2" t="s">
        <v>307</v>
      </c>
      <c r="P41" s="3" t="s">
        <v>286</v>
      </c>
      <c r="Q41" s="2" t="s">
        <v>35</v>
      </c>
      <c r="R41" s="2" t="s">
        <v>35</v>
      </c>
      <c r="S41" s="2" t="s">
        <v>35</v>
      </c>
      <c r="T41" s="2" t="s">
        <v>35</v>
      </c>
    </row>
    <row r="42" ht="72" hidden="1" spans="1:20">
      <c r="A42" s="2" t="s">
        <v>308</v>
      </c>
      <c r="B42" s="2" t="s">
        <v>273</v>
      </c>
      <c r="C42" s="2" t="s">
        <v>274</v>
      </c>
      <c r="D42" s="2" t="s">
        <v>309</v>
      </c>
      <c r="E42" s="2" t="s">
        <v>39</v>
      </c>
      <c r="F42" s="2" t="s">
        <v>139</v>
      </c>
      <c r="G42" s="2" t="s">
        <v>40</v>
      </c>
      <c r="H42" s="8" t="s">
        <v>41</v>
      </c>
      <c r="I42" s="2" t="s">
        <v>310</v>
      </c>
      <c r="J42" s="2" t="s">
        <v>311</v>
      </c>
      <c r="K42" s="2" t="s">
        <v>312</v>
      </c>
      <c r="L42" s="2" t="s">
        <v>313</v>
      </c>
      <c r="M42" s="2" t="s">
        <v>45</v>
      </c>
      <c r="N42" s="2" t="s">
        <v>32</v>
      </c>
      <c r="O42" s="2" t="s">
        <v>314</v>
      </c>
      <c r="P42" s="2" t="s">
        <v>34</v>
      </c>
      <c r="Q42" s="2" t="s">
        <v>35</v>
      </c>
      <c r="R42" s="2" t="s">
        <v>35</v>
      </c>
      <c r="S42" s="2" t="s">
        <v>35</v>
      </c>
      <c r="T42" s="2" t="s">
        <v>35</v>
      </c>
    </row>
    <row r="43" ht="86.4" hidden="1" spans="1:20">
      <c r="A43" s="2" t="s">
        <v>315</v>
      </c>
      <c r="B43" s="2" t="s">
        <v>273</v>
      </c>
      <c r="C43" s="2" t="s">
        <v>274</v>
      </c>
      <c r="D43" s="2" t="s">
        <v>316</v>
      </c>
      <c r="E43" s="2" t="s">
        <v>104</v>
      </c>
      <c r="F43" s="2" t="s">
        <v>139</v>
      </c>
      <c r="G43" s="2" t="s">
        <v>105</v>
      </c>
      <c r="H43" s="8" t="s">
        <v>41</v>
      </c>
      <c r="I43" s="2" t="s">
        <v>317</v>
      </c>
      <c r="J43" s="2" t="s">
        <v>318</v>
      </c>
      <c r="K43" s="2" t="s">
        <v>319</v>
      </c>
      <c r="L43" s="2" t="s">
        <v>320</v>
      </c>
      <c r="M43" s="2" t="s">
        <v>45</v>
      </c>
      <c r="N43" s="2" t="s">
        <v>32</v>
      </c>
      <c r="O43" s="2" t="s">
        <v>321</v>
      </c>
      <c r="P43" s="10" t="s">
        <v>180</v>
      </c>
      <c r="Q43" s="2" t="s">
        <v>35</v>
      </c>
      <c r="R43" s="2" t="s">
        <v>35</v>
      </c>
      <c r="S43" s="2" t="s">
        <v>35</v>
      </c>
      <c r="T43" s="2" t="s">
        <v>35</v>
      </c>
    </row>
    <row r="44" ht="86.4" hidden="1" spans="1:20">
      <c r="A44" s="2" t="s">
        <v>322</v>
      </c>
      <c r="B44" s="2" t="s">
        <v>273</v>
      </c>
      <c r="C44" s="2" t="s">
        <v>274</v>
      </c>
      <c r="D44" s="2" t="s">
        <v>323</v>
      </c>
      <c r="E44" s="2" t="s">
        <v>39</v>
      </c>
      <c r="F44" s="2" t="s">
        <v>139</v>
      </c>
      <c r="G44" s="2" t="s">
        <v>324</v>
      </c>
      <c r="H44" s="9" t="s">
        <v>66</v>
      </c>
      <c r="I44" s="2" t="s">
        <v>325</v>
      </c>
      <c r="J44" s="2" t="s">
        <v>318</v>
      </c>
      <c r="K44" s="2" t="s">
        <v>326</v>
      </c>
      <c r="L44" s="2" t="s">
        <v>327</v>
      </c>
      <c r="M44" s="2" t="s">
        <v>45</v>
      </c>
      <c r="N44" s="2" t="s">
        <v>32</v>
      </c>
      <c r="O44" s="2" t="s">
        <v>328</v>
      </c>
      <c r="P44" s="10" t="s">
        <v>180</v>
      </c>
      <c r="Q44" s="2" t="s">
        <v>35</v>
      </c>
      <c r="R44" s="2" t="s">
        <v>35</v>
      </c>
      <c r="S44" s="2" t="s">
        <v>35</v>
      </c>
      <c r="T44" s="2" t="s">
        <v>35</v>
      </c>
    </row>
    <row r="45" ht="72" hidden="1" spans="1:20">
      <c r="A45" s="2" t="s">
        <v>329</v>
      </c>
      <c r="B45" s="2" t="s">
        <v>273</v>
      </c>
      <c r="C45" s="2" t="s">
        <v>274</v>
      </c>
      <c r="D45" s="2" t="s">
        <v>330</v>
      </c>
      <c r="E45" s="2" t="s">
        <v>39</v>
      </c>
      <c r="F45" s="2" t="s">
        <v>24</v>
      </c>
      <c r="G45" s="2" t="s">
        <v>40</v>
      </c>
      <c r="H45" s="9" t="s">
        <v>66</v>
      </c>
      <c r="I45" s="2" t="s">
        <v>331</v>
      </c>
      <c r="J45" s="2" t="s">
        <v>332</v>
      </c>
      <c r="K45" s="2" t="s">
        <v>333</v>
      </c>
      <c r="L45" s="2" t="s">
        <v>334</v>
      </c>
      <c r="M45" s="2" t="s">
        <v>45</v>
      </c>
      <c r="N45" s="2" t="s">
        <v>32</v>
      </c>
      <c r="O45" s="2" t="s">
        <v>335</v>
      </c>
      <c r="P45" s="10" t="s">
        <v>180</v>
      </c>
      <c r="Q45" s="2" t="s">
        <v>35</v>
      </c>
      <c r="R45" s="2" t="s">
        <v>35</v>
      </c>
      <c r="S45" s="2" t="s">
        <v>35</v>
      </c>
      <c r="T45" s="2" t="s">
        <v>35</v>
      </c>
    </row>
    <row r="46" ht="72" hidden="1" spans="1:20">
      <c r="A46" s="2" t="s">
        <v>336</v>
      </c>
      <c r="B46" s="2" t="s">
        <v>273</v>
      </c>
      <c r="C46" s="2" t="s">
        <v>274</v>
      </c>
      <c r="D46" s="2" t="s">
        <v>337</v>
      </c>
      <c r="E46" s="2" t="s">
        <v>39</v>
      </c>
      <c r="F46" s="2" t="s">
        <v>24</v>
      </c>
      <c r="G46" s="2" t="s">
        <v>40</v>
      </c>
      <c r="H46" s="9" t="s">
        <v>66</v>
      </c>
      <c r="I46" s="2" t="s">
        <v>338</v>
      </c>
      <c r="J46" s="2" t="s">
        <v>339</v>
      </c>
      <c r="K46" s="2" t="s">
        <v>333</v>
      </c>
      <c r="L46" s="2" t="s">
        <v>340</v>
      </c>
      <c r="M46" s="2" t="s">
        <v>45</v>
      </c>
      <c r="N46" s="2" t="s">
        <v>32</v>
      </c>
      <c r="O46" s="2" t="s">
        <v>341</v>
      </c>
      <c r="P46" s="10" t="s">
        <v>180</v>
      </c>
      <c r="Q46" s="2" t="s">
        <v>35</v>
      </c>
      <c r="R46" s="2" t="s">
        <v>35</v>
      </c>
      <c r="S46" s="2" t="s">
        <v>35</v>
      </c>
      <c r="T46" s="2" t="s">
        <v>35</v>
      </c>
    </row>
    <row r="47" ht="72" hidden="1" spans="1:20">
      <c r="A47" s="2" t="s">
        <v>342</v>
      </c>
      <c r="B47" s="2" t="s">
        <v>273</v>
      </c>
      <c r="C47" s="2" t="s">
        <v>274</v>
      </c>
      <c r="D47" s="2" t="s">
        <v>343</v>
      </c>
      <c r="E47" s="2" t="s">
        <v>39</v>
      </c>
      <c r="F47" s="2" t="s">
        <v>139</v>
      </c>
      <c r="G47" s="2" t="s">
        <v>105</v>
      </c>
      <c r="H47" s="8" t="s">
        <v>41</v>
      </c>
      <c r="I47" s="2" t="s">
        <v>344</v>
      </c>
      <c r="J47" s="2" t="s">
        <v>345</v>
      </c>
      <c r="K47" s="2" t="s">
        <v>333</v>
      </c>
      <c r="L47" s="2" t="s">
        <v>346</v>
      </c>
      <c r="M47" s="2" t="s">
        <v>45</v>
      </c>
      <c r="N47" s="2" t="s">
        <v>32</v>
      </c>
      <c r="O47" s="2" t="s">
        <v>347</v>
      </c>
      <c r="P47" s="10" t="s">
        <v>180</v>
      </c>
      <c r="Q47" s="2" t="s">
        <v>35</v>
      </c>
      <c r="R47" s="2" t="s">
        <v>35</v>
      </c>
      <c r="S47" s="2" t="s">
        <v>35</v>
      </c>
      <c r="T47" s="2" t="s">
        <v>35</v>
      </c>
    </row>
    <row r="48" ht="72" hidden="1" spans="1:20">
      <c r="A48" s="2" t="s">
        <v>348</v>
      </c>
      <c r="B48" s="2" t="s">
        <v>273</v>
      </c>
      <c r="C48" s="2" t="s">
        <v>274</v>
      </c>
      <c r="D48" s="2" t="s">
        <v>349</v>
      </c>
      <c r="E48" s="2" t="s">
        <v>39</v>
      </c>
      <c r="F48" s="2" t="s">
        <v>24</v>
      </c>
      <c r="G48" s="2" t="s">
        <v>40</v>
      </c>
      <c r="H48" s="9" t="s">
        <v>66</v>
      </c>
      <c r="I48" s="2" t="s">
        <v>350</v>
      </c>
      <c r="J48" s="2" t="s">
        <v>318</v>
      </c>
      <c r="K48" s="2" t="s">
        <v>333</v>
      </c>
      <c r="L48" s="2" t="s">
        <v>351</v>
      </c>
      <c r="M48" s="2" t="s">
        <v>45</v>
      </c>
      <c r="N48" s="2" t="s">
        <v>32</v>
      </c>
      <c r="O48" s="2" t="s">
        <v>352</v>
      </c>
      <c r="P48" s="10" t="s">
        <v>353</v>
      </c>
      <c r="Q48" s="2" t="s">
        <v>35</v>
      </c>
      <c r="R48" s="2" t="s">
        <v>35</v>
      </c>
      <c r="S48" s="2" t="s">
        <v>35</v>
      </c>
      <c r="T48" s="2" t="s">
        <v>35</v>
      </c>
    </row>
    <row r="49" ht="43.2" hidden="1" spans="1:20">
      <c r="A49" s="2" t="s">
        <v>354</v>
      </c>
      <c r="B49" s="2" t="s">
        <v>273</v>
      </c>
      <c r="C49" s="2" t="s">
        <v>274</v>
      </c>
      <c r="D49" s="2" t="s">
        <v>355</v>
      </c>
      <c r="E49" s="2" t="s">
        <v>104</v>
      </c>
      <c r="F49" s="2" t="s">
        <v>76</v>
      </c>
      <c r="G49" s="2" t="s">
        <v>77</v>
      </c>
      <c r="H49" s="7" t="s">
        <v>26</v>
      </c>
      <c r="I49" s="2" t="s">
        <v>356</v>
      </c>
      <c r="J49" s="2" t="s">
        <v>357</v>
      </c>
      <c r="K49" s="2" t="s">
        <v>358</v>
      </c>
      <c r="L49" s="2" t="s">
        <v>359</v>
      </c>
      <c r="M49" s="2" t="s">
        <v>45</v>
      </c>
      <c r="N49" s="2" t="s">
        <v>32</v>
      </c>
      <c r="O49" s="2" t="s">
        <v>35</v>
      </c>
      <c r="P49" s="10" t="s">
        <v>180</v>
      </c>
      <c r="Q49" s="2" t="s">
        <v>35</v>
      </c>
      <c r="R49" s="2" t="s">
        <v>35</v>
      </c>
      <c r="S49" s="2" t="s">
        <v>35</v>
      </c>
      <c r="T49" s="2" t="s">
        <v>35</v>
      </c>
    </row>
    <row r="50" ht="43.2" hidden="1" spans="1:20">
      <c r="A50" s="2" t="s">
        <v>360</v>
      </c>
      <c r="B50" s="2" t="s">
        <v>273</v>
      </c>
      <c r="C50" s="2" t="s">
        <v>274</v>
      </c>
      <c r="D50" s="2" t="s">
        <v>361</v>
      </c>
      <c r="E50" s="2" t="s">
        <v>104</v>
      </c>
      <c r="F50" s="2" t="s">
        <v>76</v>
      </c>
      <c r="G50" s="2" t="s">
        <v>77</v>
      </c>
      <c r="H50" s="7" t="s">
        <v>26</v>
      </c>
      <c r="I50" s="2" t="s">
        <v>362</v>
      </c>
      <c r="J50" s="2" t="s">
        <v>363</v>
      </c>
      <c r="K50" s="2" t="s">
        <v>358</v>
      </c>
      <c r="L50" s="2" t="s">
        <v>364</v>
      </c>
      <c r="M50" s="2" t="s">
        <v>45</v>
      </c>
      <c r="N50" s="2" t="s">
        <v>32</v>
      </c>
      <c r="O50" s="2" t="s">
        <v>35</v>
      </c>
      <c r="P50" s="10" t="s">
        <v>180</v>
      </c>
      <c r="Q50" s="2" t="s">
        <v>35</v>
      </c>
      <c r="R50" s="2" t="s">
        <v>35</v>
      </c>
      <c r="S50" s="2" t="s">
        <v>35</v>
      </c>
      <c r="T50" s="2" t="s">
        <v>35</v>
      </c>
    </row>
    <row r="51" ht="43.2" hidden="1" spans="1:20">
      <c r="A51" s="2" t="s">
        <v>365</v>
      </c>
      <c r="B51" s="2" t="s">
        <v>273</v>
      </c>
      <c r="C51" s="2" t="s">
        <v>274</v>
      </c>
      <c r="D51" s="2" t="s">
        <v>366</v>
      </c>
      <c r="E51" s="2" t="s">
        <v>104</v>
      </c>
      <c r="F51" s="2" t="s">
        <v>139</v>
      </c>
      <c r="G51" s="2" t="s">
        <v>105</v>
      </c>
      <c r="H51" s="7" t="s">
        <v>26</v>
      </c>
      <c r="I51" s="2" t="s">
        <v>367</v>
      </c>
      <c r="J51" s="2" t="s">
        <v>318</v>
      </c>
      <c r="K51" s="2" t="s">
        <v>368</v>
      </c>
      <c r="L51" s="2" t="s">
        <v>369</v>
      </c>
      <c r="M51" s="2" t="s">
        <v>45</v>
      </c>
      <c r="N51" s="2" t="s">
        <v>32</v>
      </c>
      <c r="O51" s="2" t="s">
        <v>35</v>
      </c>
      <c r="P51" s="10" t="s">
        <v>180</v>
      </c>
      <c r="Q51" s="2" t="s">
        <v>35</v>
      </c>
      <c r="R51" s="2" t="s">
        <v>35</v>
      </c>
      <c r="S51" s="2" t="s">
        <v>35</v>
      </c>
      <c r="T51" s="2" t="s">
        <v>35</v>
      </c>
    </row>
    <row r="52" ht="72" hidden="1" spans="1:20">
      <c r="A52" s="2" t="s">
        <v>370</v>
      </c>
      <c r="B52" s="2" t="s">
        <v>273</v>
      </c>
      <c r="C52" s="2" t="s">
        <v>274</v>
      </c>
      <c r="D52" s="2" t="s">
        <v>371</v>
      </c>
      <c r="E52" s="2" t="s">
        <v>39</v>
      </c>
      <c r="F52" s="2" t="s">
        <v>24</v>
      </c>
      <c r="G52" s="2" t="s">
        <v>40</v>
      </c>
      <c r="H52" s="8" t="s">
        <v>41</v>
      </c>
      <c r="I52" s="2" t="s">
        <v>372</v>
      </c>
      <c r="J52" s="2" t="s">
        <v>318</v>
      </c>
      <c r="K52" s="2" t="s">
        <v>373</v>
      </c>
      <c r="L52" s="2" t="s">
        <v>374</v>
      </c>
      <c r="M52" s="2" t="s">
        <v>45</v>
      </c>
      <c r="N52" s="2" t="s">
        <v>32</v>
      </c>
      <c r="O52" s="2" t="s">
        <v>375</v>
      </c>
      <c r="P52" s="3" t="s">
        <v>376</v>
      </c>
      <c r="Q52" s="2" t="s">
        <v>35</v>
      </c>
      <c r="R52" s="2" t="s">
        <v>35</v>
      </c>
      <c r="S52" s="2" t="s">
        <v>35</v>
      </c>
      <c r="T52" s="2" t="s">
        <v>35</v>
      </c>
    </row>
    <row r="53" ht="57.6" hidden="1" spans="1:20">
      <c r="A53" s="2" t="s">
        <v>377</v>
      </c>
      <c r="B53" s="2" t="s">
        <v>273</v>
      </c>
      <c r="C53" s="2" t="s">
        <v>274</v>
      </c>
      <c r="D53" s="2" t="s">
        <v>378</v>
      </c>
      <c r="E53" s="2" t="s">
        <v>104</v>
      </c>
      <c r="F53" s="2" t="s">
        <v>139</v>
      </c>
      <c r="G53" s="2" t="s">
        <v>105</v>
      </c>
      <c r="H53" s="7" t="s">
        <v>26</v>
      </c>
      <c r="I53" s="2" t="s">
        <v>379</v>
      </c>
      <c r="J53" s="2" t="s">
        <v>318</v>
      </c>
      <c r="K53" s="2" t="s">
        <v>380</v>
      </c>
      <c r="L53" s="2" t="s">
        <v>381</v>
      </c>
      <c r="M53" s="2" t="s">
        <v>45</v>
      </c>
      <c r="N53" s="2" t="s">
        <v>32</v>
      </c>
      <c r="O53" s="2" t="s">
        <v>382</v>
      </c>
      <c r="P53" s="10" t="s">
        <v>180</v>
      </c>
      <c r="Q53" s="2" t="s">
        <v>35</v>
      </c>
      <c r="R53" s="2" t="s">
        <v>35</v>
      </c>
      <c r="S53" s="2" t="s">
        <v>35</v>
      </c>
      <c r="T53" s="2" t="s">
        <v>35</v>
      </c>
    </row>
    <row r="54" ht="57.6" hidden="1" spans="1:20">
      <c r="A54" s="2" t="s">
        <v>383</v>
      </c>
      <c r="B54" s="2" t="s">
        <v>384</v>
      </c>
      <c r="C54" s="2" t="s">
        <v>385</v>
      </c>
      <c r="D54" s="2" t="s">
        <v>386</v>
      </c>
      <c r="E54" s="2" t="s">
        <v>39</v>
      </c>
      <c r="F54" s="2" t="s">
        <v>24</v>
      </c>
      <c r="G54" s="2" t="s">
        <v>40</v>
      </c>
      <c r="H54" s="9" t="s">
        <v>66</v>
      </c>
      <c r="I54" s="2" t="s">
        <v>125</v>
      </c>
      <c r="J54" s="2" t="s">
        <v>165</v>
      </c>
      <c r="K54" s="2" t="s">
        <v>166</v>
      </c>
      <c r="L54" s="2" t="s">
        <v>387</v>
      </c>
      <c r="M54" s="2" t="s">
        <v>45</v>
      </c>
      <c r="N54" s="2" t="s">
        <v>32</v>
      </c>
      <c r="O54" s="2" t="s">
        <v>388</v>
      </c>
      <c r="P54" s="2" t="s">
        <v>34</v>
      </c>
      <c r="Q54" s="2" t="s">
        <v>35</v>
      </c>
      <c r="R54" s="2" t="s">
        <v>35</v>
      </c>
      <c r="S54" s="2" t="s">
        <v>35</v>
      </c>
      <c r="T54" s="2" t="s">
        <v>35</v>
      </c>
    </row>
    <row r="55" ht="57.6" hidden="1" spans="1:20">
      <c r="A55" s="2" t="s">
        <v>389</v>
      </c>
      <c r="B55" s="2" t="s">
        <v>384</v>
      </c>
      <c r="C55" s="2" t="s">
        <v>385</v>
      </c>
      <c r="D55" s="2" t="s">
        <v>390</v>
      </c>
      <c r="E55" s="2" t="s">
        <v>39</v>
      </c>
      <c r="F55" s="2" t="s">
        <v>24</v>
      </c>
      <c r="G55" s="2" t="s">
        <v>40</v>
      </c>
      <c r="H55" s="9" t="s">
        <v>66</v>
      </c>
      <c r="I55" s="2" t="s">
        <v>391</v>
      </c>
      <c r="J55" s="2" t="s">
        <v>392</v>
      </c>
      <c r="K55" s="2" t="s">
        <v>393</v>
      </c>
      <c r="L55" s="2" t="s">
        <v>394</v>
      </c>
      <c r="M55" s="2" t="s">
        <v>45</v>
      </c>
      <c r="N55" s="2" t="s">
        <v>32</v>
      </c>
      <c r="O55" s="2" t="s">
        <v>395</v>
      </c>
      <c r="P55" s="2" t="s">
        <v>34</v>
      </c>
      <c r="Q55" s="2" t="s">
        <v>35</v>
      </c>
      <c r="R55" s="2" t="s">
        <v>35</v>
      </c>
      <c r="S55" s="2" t="s">
        <v>35</v>
      </c>
      <c r="T55" s="2" t="s">
        <v>35</v>
      </c>
    </row>
    <row r="56" ht="57.6" hidden="1" spans="1:20">
      <c r="A56" s="2" t="s">
        <v>396</v>
      </c>
      <c r="B56" s="2" t="s">
        <v>384</v>
      </c>
      <c r="C56" s="2" t="s">
        <v>385</v>
      </c>
      <c r="D56" s="2" t="s">
        <v>397</v>
      </c>
      <c r="E56" s="2" t="s">
        <v>39</v>
      </c>
      <c r="F56" s="2" t="s">
        <v>139</v>
      </c>
      <c r="G56" s="2" t="s">
        <v>40</v>
      </c>
      <c r="H56" s="9" t="s">
        <v>66</v>
      </c>
      <c r="I56" s="2" t="s">
        <v>398</v>
      </c>
      <c r="J56" s="2" t="s">
        <v>126</v>
      </c>
      <c r="K56" s="2" t="s">
        <v>127</v>
      </c>
      <c r="L56" s="2" t="s">
        <v>399</v>
      </c>
      <c r="M56" s="2" t="s">
        <v>45</v>
      </c>
      <c r="N56" s="2" t="s">
        <v>32</v>
      </c>
      <c r="O56" s="2" t="s">
        <v>400</v>
      </c>
      <c r="P56" s="2" t="s">
        <v>34</v>
      </c>
      <c r="Q56" s="2" t="s">
        <v>35</v>
      </c>
      <c r="R56" s="2" t="s">
        <v>35</v>
      </c>
      <c r="S56" s="2" t="s">
        <v>35</v>
      </c>
      <c r="T56" s="2" t="s">
        <v>35</v>
      </c>
    </row>
    <row r="57" ht="57.6" hidden="1" spans="1:20">
      <c r="A57" s="2" t="s">
        <v>401</v>
      </c>
      <c r="B57" s="2" t="s">
        <v>384</v>
      </c>
      <c r="C57" s="2" t="s">
        <v>385</v>
      </c>
      <c r="D57" s="2" t="s">
        <v>402</v>
      </c>
      <c r="E57" s="2" t="s">
        <v>39</v>
      </c>
      <c r="F57" s="2" t="s">
        <v>139</v>
      </c>
      <c r="G57" s="2" t="s">
        <v>140</v>
      </c>
      <c r="H57" s="9" t="s">
        <v>66</v>
      </c>
      <c r="I57" s="2" t="s">
        <v>403</v>
      </c>
      <c r="J57" s="2" t="s">
        <v>311</v>
      </c>
      <c r="K57" s="2" t="s">
        <v>404</v>
      </c>
      <c r="L57" s="2" t="s">
        <v>405</v>
      </c>
      <c r="M57" s="2" t="s">
        <v>45</v>
      </c>
      <c r="N57" s="2" t="s">
        <v>32</v>
      </c>
      <c r="O57" s="2" t="s">
        <v>406</v>
      </c>
      <c r="P57" s="3" t="s">
        <v>407</v>
      </c>
      <c r="Q57" s="2" t="s">
        <v>35</v>
      </c>
      <c r="R57" s="2" t="s">
        <v>35</v>
      </c>
      <c r="S57" s="2" t="s">
        <v>35</v>
      </c>
      <c r="T57" s="2" t="s">
        <v>35</v>
      </c>
    </row>
    <row r="58" ht="57.6" hidden="1" spans="1:20">
      <c r="A58" s="2" t="s">
        <v>408</v>
      </c>
      <c r="B58" s="2" t="s">
        <v>409</v>
      </c>
      <c r="C58" s="2" t="s">
        <v>410</v>
      </c>
      <c r="D58" s="2" t="s">
        <v>411</v>
      </c>
      <c r="E58" s="2" t="s">
        <v>39</v>
      </c>
      <c r="F58" s="2" t="s">
        <v>24</v>
      </c>
      <c r="G58" s="2" t="s">
        <v>40</v>
      </c>
      <c r="H58" s="8" t="s">
        <v>41</v>
      </c>
      <c r="I58" s="2" t="s">
        <v>125</v>
      </c>
      <c r="J58" s="2" t="s">
        <v>412</v>
      </c>
      <c r="K58" s="2" t="s">
        <v>166</v>
      </c>
      <c r="L58" s="2" t="s">
        <v>413</v>
      </c>
      <c r="M58" s="2" t="s">
        <v>45</v>
      </c>
      <c r="N58" s="2" t="s">
        <v>32</v>
      </c>
      <c r="O58" s="2" t="s">
        <v>414</v>
      </c>
      <c r="P58" s="2" t="s">
        <v>34</v>
      </c>
      <c r="Q58" s="2" t="s">
        <v>35</v>
      </c>
      <c r="R58" s="2" t="s">
        <v>35</v>
      </c>
      <c r="S58" s="2" t="s">
        <v>35</v>
      </c>
      <c r="T58" s="2" t="s">
        <v>35</v>
      </c>
    </row>
    <row r="59" ht="57.6" hidden="1" spans="1:20">
      <c r="A59" s="2" t="s">
        <v>415</v>
      </c>
      <c r="B59" s="2" t="s">
        <v>409</v>
      </c>
      <c r="C59" s="2" t="s">
        <v>410</v>
      </c>
      <c r="D59" s="2" t="s">
        <v>416</v>
      </c>
      <c r="E59" s="2" t="s">
        <v>39</v>
      </c>
      <c r="F59" s="2" t="s">
        <v>24</v>
      </c>
      <c r="G59" s="2" t="s">
        <v>40</v>
      </c>
      <c r="H59" s="8" t="s">
        <v>41</v>
      </c>
      <c r="I59" s="2" t="s">
        <v>417</v>
      </c>
      <c r="J59" s="2" t="s">
        <v>418</v>
      </c>
      <c r="K59" s="2" t="s">
        <v>419</v>
      </c>
      <c r="L59" s="2" t="s">
        <v>420</v>
      </c>
      <c r="M59" s="2" t="s">
        <v>45</v>
      </c>
      <c r="N59" s="2" t="s">
        <v>32</v>
      </c>
      <c r="O59" s="2" t="s">
        <v>421</v>
      </c>
      <c r="P59" s="2" t="s">
        <v>34</v>
      </c>
      <c r="Q59" s="2" t="s">
        <v>35</v>
      </c>
      <c r="R59" s="2" t="s">
        <v>35</v>
      </c>
      <c r="S59" s="2" t="s">
        <v>35</v>
      </c>
      <c r="T59" s="2" t="s">
        <v>35</v>
      </c>
    </row>
    <row r="60" ht="57.6" hidden="1" spans="1:20">
      <c r="A60" s="2" t="s">
        <v>422</v>
      </c>
      <c r="B60" s="2" t="s">
        <v>409</v>
      </c>
      <c r="C60" s="2" t="s">
        <v>410</v>
      </c>
      <c r="D60" s="2" t="s">
        <v>423</v>
      </c>
      <c r="E60" s="2" t="s">
        <v>39</v>
      </c>
      <c r="F60" s="2" t="s">
        <v>139</v>
      </c>
      <c r="G60" s="2" t="s">
        <v>140</v>
      </c>
      <c r="H60" s="8" t="s">
        <v>41</v>
      </c>
      <c r="I60" s="2" t="s">
        <v>424</v>
      </c>
      <c r="J60" s="2" t="s">
        <v>425</v>
      </c>
      <c r="K60" s="2" t="s">
        <v>426</v>
      </c>
      <c r="L60" s="2" t="s">
        <v>427</v>
      </c>
      <c r="M60" s="2" t="s">
        <v>45</v>
      </c>
      <c r="N60" s="2" t="s">
        <v>32</v>
      </c>
      <c r="O60" s="2" t="s">
        <v>428</v>
      </c>
      <c r="P60" s="3" t="s">
        <v>429</v>
      </c>
      <c r="Q60" s="2" t="s">
        <v>35</v>
      </c>
      <c r="R60" s="2" t="s">
        <v>35</v>
      </c>
      <c r="S60" s="2" t="s">
        <v>35</v>
      </c>
      <c r="T60" s="2" t="s">
        <v>35</v>
      </c>
    </row>
    <row r="61" ht="86.4" hidden="1" spans="1:20">
      <c r="A61" s="2" t="s">
        <v>430</v>
      </c>
      <c r="B61" s="2" t="s">
        <v>409</v>
      </c>
      <c r="C61" s="2" t="s">
        <v>431</v>
      </c>
      <c r="D61" s="2" t="s">
        <v>432</v>
      </c>
      <c r="E61" s="2" t="s">
        <v>104</v>
      </c>
      <c r="F61" s="2" t="s">
        <v>24</v>
      </c>
      <c r="G61" s="2" t="s">
        <v>40</v>
      </c>
      <c r="H61" s="8" t="s">
        <v>41</v>
      </c>
      <c r="I61" s="2" t="s">
        <v>27</v>
      </c>
      <c r="J61" s="2" t="s">
        <v>433</v>
      </c>
      <c r="K61" s="2" t="s">
        <v>434</v>
      </c>
      <c r="L61" s="2" t="s">
        <v>435</v>
      </c>
      <c r="M61" s="2" t="s">
        <v>45</v>
      </c>
      <c r="N61" s="2" t="s">
        <v>32</v>
      </c>
      <c r="O61" s="2" t="s">
        <v>436</v>
      </c>
      <c r="P61" s="2" t="s">
        <v>34</v>
      </c>
      <c r="Q61" s="2" t="s">
        <v>35</v>
      </c>
      <c r="R61" s="2" t="s">
        <v>35</v>
      </c>
      <c r="S61" s="2" t="s">
        <v>35</v>
      </c>
      <c r="T61" s="2" t="s">
        <v>35</v>
      </c>
    </row>
    <row r="62" ht="57.6" hidden="1" spans="1:20">
      <c r="A62" s="2" t="s">
        <v>437</v>
      </c>
      <c r="B62" s="2" t="s">
        <v>409</v>
      </c>
      <c r="C62" s="2" t="s">
        <v>410</v>
      </c>
      <c r="D62" s="2" t="s">
        <v>438</v>
      </c>
      <c r="E62" s="2" t="s">
        <v>39</v>
      </c>
      <c r="F62" s="2" t="s">
        <v>139</v>
      </c>
      <c r="G62" s="2" t="s">
        <v>140</v>
      </c>
      <c r="H62" s="7" t="s">
        <v>26</v>
      </c>
      <c r="I62" s="2" t="s">
        <v>439</v>
      </c>
      <c r="J62" s="2" t="s">
        <v>311</v>
      </c>
      <c r="K62" s="2" t="s">
        <v>404</v>
      </c>
      <c r="L62" s="2" t="s">
        <v>440</v>
      </c>
      <c r="M62" s="2" t="s">
        <v>45</v>
      </c>
      <c r="N62" s="2" t="s">
        <v>32</v>
      </c>
      <c r="O62" s="2" t="s">
        <v>441</v>
      </c>
      <c r="P62" s="3" t="s">
        <v>407</v>
      </c>
      <c r="Q62" s="2" t="s">
        <v>35</v>
      </c>
      <c r="R62" s="2" t="s">
        <v>35</v>
      </c>
      <c r="S62" s="2" t="s">
        <v>35</v>
      </c>
      <c r="T62" s="2" t="s">
        <v>35</v>
      </c>
    </row>
    <row r="63" ht="57.6" hidden="1" spans="1:20">
      <c r="A63" s="2" t="s">
        <v>442</v>
      </c>
      <c r="B63" s="2" t="s">
        <v>443</v>
      </c>
      <c r="C63" s="2" t="s">
        <v>444</v>
      </c>
      <c r="D63" s="2" t="s">
        <v>445</v>
      </c>
      <c r="E63" s="2" t="s">
        <v>39</v>
      </c>
      <c r="F63" s="2" t="s">
        <v>24</v>
      </c>
      <c r="G63" s="2" t="s">
        <v>40</v>
      </c>
      <c r="H63" s="8" t="s">
        <v>41</v>
      </c>
      <c r="I63" s="2" t="s">
        <v>446</v>
      </c>
      <c r="J63" s="2" t="s">
        <v>165</v>
      </c>
      <c r="K63" s="2" t="s">
        <v>166</v>
      </c>
      <c r="L63" s="2" t="s">
        <v>447</v>
      </c>
      <c r="M63" s="2" t="s">
        <v>45</v>
      </c>
      <c r="N63" s="2" t="s">
        <v>32</v>
      </c>
      <c r="O63" s="2" t="s">
        <v>448</v>
      </c>
      <c r="P63" s="2" t="s">
        <v>34</v>
      </c>
      <c r="Q63" s="2" t="s">
        <v>35</v>
      </c>
      <c r="R63" s="2" t="s">
        <v>35</v>
      </c>
      <c r="S63" s="2" t="s">
        <v>35</v>
      </c>
      <c r="T63" s="2" t="s">
        <v>35</v>
      </c>
    </row>
    <row r="64" ht="57.6" hidden="1" spans="1:20">
      <c r="A64" s="2" t="s">
        <v>449</v>
      </c>
      <c r="B64" s="2" t="s">
        <v>443</v>
      </c>
      <c r="C64" s="2" t="s">
        <v>444</v>
      </c>
      <c r="D64" s="2" t="s">
        <v>450</v>
      </c>
      <c r="E64" s="2" t="s">
        <v>39</v>
      </c>
      <c r="F64" s="2" t="s">
        <v>139</v>
      </c>
      <c r="G64" s="2" t="s">
        <v>140</v>
      </c>
      <c r="H64" s="8" t="s">
        <v>41</v>
      </c>
      <c r="I64" s="2" t="s">
        <v>451</v>
      </c>
      <c r="J64" s="2" t="s">
        <v>311</v>
      </c>
      <c r="K64" s="2" t="s">
        <v>404</v>
      </c>
      <c r="L64" s="2" t="s">
        <v>452</v>
      </c>
      <c r="M64" s="2" t="s">
        <v>45</v>
      </c>
      <c r="N64" s="2" t="s">
        <v>32</v>
      </c>
      <c r="O64" s="2" t="s">
        <v>453</v>
      </c>
      <c r="P64" s="3" t="s">
        <v>407</v>
      </c>
      <c r="Q64" s="2" t="s">
        <v>35</v>
      </c>
      <c r="R64" s="2" t="s">
        <v>35</v>
      </c>
      <c r="S64" s="2" t="s">
        <v>35</v>
      </c>
      <c r="T64" s="2" t="s">
        <v>35</v>
      </c>
    </row>
    <row r="65" ht="57.6" hidden="1" spans="1:20">
      <c r="A65" s="2" t="s">
        <v>454</v>
      </c>
      <c r="B65" s="2" t="s">
        <v>443</v>
      </c>
      <c r="C65" s="2" t="s">
        <v>444</v>
      </c>
      <c r="D65" s="2" t="s">
        <v>455</v>
      </c>
      <c r="E65" s="2" t="s">
        <v>39</v>
      </c>
      <c r="F65" s="2" t="s">
        <v>139</v>
      </c>
      <c r="G65" s="2" t="s">
        <v>40</v>
      </c>
      <c r="H65" s="8" t="s">
        <v>41</v>
      </c>
      <c r="I65" s="2" t="s">
        <v>456</v>
      </c>
      <c r="J65" s="2" t="s">
        <v>126</v>
      </c>
      <c r="K65" s="2" t="s">
        <v>127</v>
      </c>
      <c r="L65" s="2" t="s">
        <v>457</v>
      </c>
      <c r="M65" s="2" t="s">
        <v>45</v>
      </c>
      <c r="N65" s="2" t="s">
        <v>32</v>
      </c>
      <c r="O65" s="2" t="s">
        <v>458</v>
      </c>
      <c r="P65" s="2" t="s">
        <v>34</v>
      </c>
      <c r="Q65" s="2" t="s">
        <v>35</v>
      </c>
      <c r="R65" s="2" t="s">
        <v>35</v>
      </c>
      <c r="S65" s="2" t="s">
        <v>35</v>
      </c>
      <c r="T65" s="2" t="s">
        <v>35</v>
      </c>
    </row>
    <row r="66" ht="57.6" hidden="1" spans="1:20">
      <c r="A66" s="2" t="s">
        <v>459</v>
      </c>
      <c r="B66" s="2" t="s">
        <v>460</v>
      </c>
      <c r="C66" s="2" t="s">
        <v>461</v>
      </c>
      <c r="D66" s="2" t="s">
        <v>462</v>
      </c>
      <c r="E66" s="2" t="s">
        <v>39</v>
      </c>
      <c r="F66" s="2" t="s">
        <v>24</v>
      </c>
      <c r="G66" s="2" t="s">
        <v>40</v>
      </c>
      <c r="H66" s="9" t="s">
        <v>66</v>
      </c>
      <c r="I66" s="2" t="s">
        <v>125</v>
      </c>
      <c r="J66" s="2" t="s">
        <v>165</v>
      </c>
      <c r="K66" s="2" t="s">
        <v>166</v>
      </c>
      <c r="L66" s="2" t="s">
        <v>463</v>
      </c>
      <c r="M66" s="2" t="s">
        <v>45</v>
      </c>
      <c r="N66" s="2" t="s">
        <v>32</v>
      </c>
      <c r="O66" s="2" t="s">
        <v>464</v>
      </c>
      <c r="P66" s="2" t="s">
        <v>34</v>
      </c>
      <c r="Q66" s="2" t="s">
        <v>35</v>
      </c>
      <c r="R66" s="2" t="s">
        <v>35</v>
      </c>
      <c r="S66" s="2" t="s">
        <v>35</v>
      </c>
      <c r="T66" s="2" t="s">
        <v>35</v>
      </c>
    </row>
    <row r="67" ht="72" hidden="1" spans="1:20">
      <c r="A67" s="2" t="s">
        <v>465</v>
      </c>
      <c r="B67" s="2" t="s">
        <v>460</v>
      </c>
      <c r="C67" s="2" t="s">
        <v>461</v>
      </c>
      <c r="D67" s="2" t="s">
        <v>466</v>
      </c>
      <c r="E67" s="2" t="s">
        <v>39</v>
      </c>
      <c r="F67" s="2" t="s">
        <v>24</v>
      </c>
      <c r="G67" s="2" t="s">
        <v>40</v>
      </c>
      <c r="H67" s="9" t="s">
        <v>66</v>
      </c>
      <c r="I67" s="2" t="s">
        <v>467</v>
      </c>
      <c r="J67" s="2" t="s">
        <v>165</v>
      </c>
      <c r="K67" s="2" t="s">
        <v>468</v>
      </c>
      <c r="L67" s="2" t="s">
        <v>469</v>
      </c>
      <c r="M67" s="2" t="s">
        <v>45</v>
      </c>
      <c r="N67" s="2" t="s">
        <v>32</v>
      </c>
      <c r="O67" s="2" t="s">
        <v>470</v>
      </c>
      <c r="P67" s="2" t="s">
        <v>34</v>
      </c>
      <c r="Q67" s="2" t="s">
        <v>35</v>
      </c>
      <c r="R67" s="2" t="s">
        <v>35</v>
      </c>
      <c r="S67" s="2" t="s">
        <v>35</v>
      </c>
      <c r="T67" s="2" t="s">
        <v>35</v>
      </c>
    </row>
    <row r="68" ht="57.6" hidden="1" spans="1:20">
      <c r="A68" s="2" t="s">
        <v>471</v>
      </c>
      <c r="B68" s="2" t="s">
        <v>460</v>
      </c>
      <c r="C68" s="2" t="s">
        <v>461</v>
      </c>
      <c r="D68" s="2" t="s">
        <v>472</v>
      </c>
      <c r="E68" s="2" t="s">
        <v>39</v>
      </c>
      <c r="F68" s="2" t="s">
        <v>139</v>
      </c>
      <c r="G68" s="2" t="s">
        <v>40</v>
      </c>
      <c r="H68" s="8" t="s">
        <v>41</v>
      </c>
      <c r="I68" s="2" t="s">
        <v>473</v>
      </c>
      <c r="J68" s="2" t="s">
        <v>474</v>
      </c>
      <c r="K68" s="2" t="s">
        <v>475</v>
      </c>
      <c r="L68" s="2" t="s">
        <v>476</v>
      </c>
      <c r="M68" s="2" t="s">
        <v>45</v>
      </c>
      <c r="N68" s="2" t="s">
        <v>32</v>
      </c>
      <c r="O68" s="2" t="s">
        <v>477</v>
      </c>
      <c r="P68" s="2" t="s">
        <v>34</v>
      </c>
      <c r="Q68" s="2" t="s">
        <v>35</v>
      </c>
      <c r="R68" s="2" t="s">
        <v>35</v>
      </c>
      <c r="S68" s="2" t="s">
        <v>35</v>
      </c>
      <c r="T68" s="2" t="s">
        <v>35</v>
      </c>
    </row>
    <row r="69" ht="72" hidden="1" spans="1:20">
      <c r="A69" s="2" t="s">
        <v>478</v>
      </c>
      <c r="B69" s="2" t="s">
        <v>460</v>
      </c>
      <c r="C69" s="2" t="s">
        <v>461</v>
      </c>
      <c r="D69" s="2" t="s">
        <v>479</v>
      </c>
      <c r="E69" s="2" t="s">
        <v>39</v>
      </c>
      <c r="F69" s="2" t="s">
        <v>163</v>
      </c>
      <c r="G69" s="2" t="s">
        <v>40</v>
      </c>
      <c r="H69" s="8" t="s">
        <v>41</v>
      </c>
      <c r="I69" s="2" t="s">
        <v>125</v>
      </c>
      <c r="J69" s="2" t="s">
        <v>480</v>
      </c>
      <c r="K69" s="2" t="s">
        <v>481</v>
      </c>
      <c r="L69" s="2" t="s">
        <v>482</v>
      </c>
      <c r="M69" s="2" t="s">
        <v>45</v>
      </c>
      <c r="N69" s="2" t="s">
        <v>32</v>
      </c>
      <c r="O69" s="2" t="s">
        <v>483</v>
      </c>
      <c r="P69" s="2" t="s">
        <v>34</v>
      </c>
      <c r="Q69" s="2" t="s">
        <v>35</v>
      </c>
      <c r="R69" s="2" t="s">
        <v>35</v>
      </c>
      <c r="S69" s="2" t="s">
        <v>35</v>
      </c>
      <c r="T69" s="2" t="s">
        <v>35</v>
      </c>
    </row>
    <row r="70" ht="57.6" hidden="1" spans="1:20">
      <c r="A70" s="2" t="s">
        <v>484</v>
      </c>
      <c r="B70" s="2" t="s">
        <v>460</v>
      </c>
      <c r="C70" s="2" t="s">
        <v>461</v>
      </c>
      <c r="D70" s="2" t="s">
        <v>485</v>
      </c>
      <c r="E70" s="2" t="s">
        <v>39</v>
      </c>
      <c r="F70" s="2" t="s">
        <v>24</v>
      </c>
      <c r="G70" s="2" t="s">
        <v>40</v>
      </c>
      <c r="H70" s="8" t="s">
        <v>41</v>
      </c>
      <c r="I70" s="2" t="s">
        <v>27</v>
      </c>
      <c r="J70" s="2" t="s">
        <v>107</v>
      </c>
      <c r="K70" s="2" t="s">
        <v>486</v>
      </c>
      <c r="L70" s="2" t="s">
        <v>487</v>
      </c>
      <c r="M70" s="2" t="s">
        <v>488</v>
      </c>
      <c r="N70" s="2" t="s">
        <v>32</v>
      </c>
      <c r="O70" s="2" t="s">
        <v>489</v>
      </c>
      <c r="P70" s="2" t="s">
        <v>34</v>
      </c>
      <c r="Q70" s="2" t="s">
        <v>35</v>
      </c>
      <c r="R70" s="2" t="s">
        <v>35</v>
      </c>
      <c r="S70" s="2" t="s">
        <v>35</v>
      </c>
      <c r="T70" s="2" t="s">
        <v>35</v>
      </c>
    </row>
    <row r="71" ht="57.6" hidden="1" spans="1:20">
      <c r="A71" s="2" t="s">
        <v>490</v>
      </c>
      <c r="B71" s="2" t="s">
        <v>460</v>
      </c>
      <c r="C71" s="2" t="s">
        <v>461</v>
      </c>
      <c r="D71" s="2" t="s">
        <v>491</v>
      </c>
      <c r="E71" s="2" t="s">
        <v>39</v>
      </c>
      <c r="F71" s="2" t="s">
        <v>139</v>
      </c>
      <c r="G71" s="2" t="s">
        <v>40</v>
      </c>
      <c r="H71" s="8" t="s">
        <v>41</v>
      </c>
      <c r="I71" s="2" t="s">
        <v>492</v>
      </c>
      <c r="J71" s="2" t="s">
        <v>493</v>
      </c>
      <c r="K71" s="2" t="s">
        <v>494</v>
      </c>
      <c r="L71" s="2" t="s">
        <v>495</v>
      </c>
      <c r="M71" s="2" t="s">
        <v>45</v>
      </c>
      <c r="N71" s="2" t="s">
        <v>32</v>
      </c>
      <c r="O71" s="2" t="s">
        <v>35</v>
      </c>
      <c r="P71" s="2" t="s">
        <v>34</v>
      </c>
      <c r="Q71" s="2" t="s">
        <v>35</v>
      </c>
      <c r="R71" s="2" t="s">
        <v>35</v>
      </c>
      <c r="S71" s="2" t="s">
        <v>35</v>
      </c>
      <c r="T71" s="2" t="s">
        <v>35</v>
      </c>
    </row>
    <row r="72" ht="57.6" hidden="1" spans="1:20">
      <c r="A72" s="2" t="s">
        <v>496</v>
      </c>
      <c r="B72" s="2" t="s">
        <v>460</v>
      </c>
      <c r="C72" s="2" t="s">
        <v>461</v>
      </c>
      <c r="D72" s="2" t="s">
        <v>497</v>
      </c>
      <c r="E72" s="2" t="s">
        <v>39</v>
      </c>
      <c r="F72" s="2" t="s">
        <v>139</v>
      </c>
      <c r="G72" s="2" t="s">
        <v>140</v>
      </c>
      <c r="H72" s="8" t="s">
        <v>41</v>
      </c>
      <c r="I72" s="2" t="s">
        <v>403</v>
      </c>
      <c r="J72" s="2" t="s">
        <v>311</v>
      </c>
      <c r="K72" s="2" t="s">
        <v>404</v>
      </c>
      <c r="L72" s="2" t="s">
        <v>498</v>
      </c>
      <c r="M72" s="2" t="s">
        <v>45</v>
      </c>
      <c r="N72" s="2" t="s">
        <v>32</v>
      </c>
      <c r="O72" s="2" t="s">
        <v>499</v>
      </c>
      <c r="P72" s="3" t="s">
        <v>407</v>
      </c>
      <c r="Q72" s="2" t="s">
        <v>35</v>
      </c>
      <c r="R72" s="2" t="s">
        <v>35</v>
      </c>
      <c r="S72" s="2" t="s">
        <v>35</v>
      </c>
      <c r="T72" s="2" t="s">
        <v>35</v>
      </c>
    </row>
    <row r="73" ht="57.6" hidden="1" spans="1:20">
      <c r="A73" s="2" t="s">
        <v>500</v>
      </c>
      <c r="B73" s="2" t="s">
        <v>501</v>
      </c>
      <c r="C73" s="2" t="s">
        <v>502</v>
      </c>
      <c r="D73" s="2" t="s">
        <v>503</v>
      </c>
      <c r="E73" s="2" t="s">
        <v>39</v>
      </c>
      <c r="F73" s="2" t="s">
        <v>24</v>
      </c>
      <c r="G73" s="2" t="s">
        <v>40</v>
      </c>
      <c r="H73" s="8" t="s">
        <v>41</v>
      </c>
      <c r="I73" s="2" t="s">
        <v>125</v>
      </c>
      <c r="J73" s="2" t="s">
        <v>504</v>
      </c>
      <c r="K73" s="2" t="s">
        <v>166</v>
      </c>
      <c r="L73" s="2" t="s">
        <v>505</v>
      </c>
      <c r="M73" s="2" t="s">
        <v>45</v>
      </c>
      <c r="N73" s="2" t="s">
        <v>32</v>
      </c>
      <c r="O73" s="2" t="s">
        <v>506</v>
      </c>
      <c r="P73" s="2" t="s">
        <v>34</v>
      </c>
      <c r="Q73" s="2" t="s">
        <v>35</v>
      </c>
      <c r="R73" s="2" t="s">
        <v>35</v>
      </c>
      <c r="S73" s="2" t="s">
        <v>35</v>
      </c>
      <c r="T73" s="2" t="s">
        <v>35</v>
      </c>
    </row>
    <row r="74" ht="57.6" hidden="1" spans="1:20">
      <c r="A74" s="2" t="s">
        <v>507</v>
      </c>
      <c r="B74" s="2" t="s">
        <v>501</v>
      </c>
      <c r="C74" s="2" t="s">
        <v>502</v>
      </c>
      <c r="D74" s="2" t="s">
        <v>508</v>
      </c>
      <c r="E74" s="2" t="s">
        <v>39</v>
      </c>
      <c r="F74" s="2" t="s">
        <v>163</v>
      </c>
      <c r="G74" s="2" t="s">
        <v>40</v>
      </c>
      <c r="H74" s="8" t="s">
        <v>41</v>
      </c>
      <c r="I74" s="2" t="s">
        <v>509</v>
      </c>
      <c r="J74" s="2" t="s">
        <v>392</v>
      </c>
      <c r="K74" s="2" t="s">
        <v>393</v>
      </c>
      <c r="L74" s="2" t="s">
        <v>510</v>
      </c>
      <c r="M74" s="2" t="s">
        <v>45</v>
      </c>
      <c r="N74" s="2" t="s">
        <v>32</v>
      </c>
      <c r="O74" s="2" t="s">
        <v>511</v>
      </c>
      <c r="P74" s="2" t="s">
        <v>34</v>
      </c>
      <c r="Q74" s="2" t="s">
        <v>35</v>
      </c>
      <c r="R74" s="2" t="s">
        <v>35</v>
      </c>
      <c r="S74" s="2" t="s">
        <v>35</v>
      </c>
      <c r="T74" s="2" t="s">
        <v>35</v>
      </c>
    </row>
    <row r="75" ht="57.6" hidden="1" spans="1:20">
      <c r="A75" s="2" t="s">
        <v>512</v>
      </c>
      <c r="B75" s="2" t="s">
        <v>501</v>
      </c>
      <c r="C75" s="2" t="s">
        <v>502</v>
      </c>
      <c r="D75" s="2" t="s">
        <v>513</v>
      </c>
      <c r="E75" s="2" t="s">
        <v>39</v>
      </c>
      <c r="F75" s="2" t="s">
        <v>163</v>
      </c>
      <c r="G75" s="2" t="s">
        <v>40</v>
      </c>
      <c r="H75" s="8" t="s">
        <v>41</v>
      </c>
      <c r="I75" s="2" t="s">
        <v>514</v>
      </c>
      <c r="J75" s="2" t="s">
        <v>515</v>
      </c>
      <c r="K75" s="2" t="s">
        <v>516</v>
      </c>
      <c r="L75" s="2" t="s">
        <v>517</v>
      </c>
      <c r="M75" s="2" t="s">
        <v>45</v>
      </c>
      <c r="N75" s="2" t="s">
        <v>32</v>
      </c>
      <c r="O75" s="2" t="s">
        <v>518</v>
      </c>
      <c r="P75" s="3" t="s">
        <v>519</v>
      </c>
      <c r="Q75" s="2" t="s">
        <v>35</v>
      </c>
      <c r="R75" s="2" t="s">
        <v>35</v>
      </c>
      <c r="S75" s="2" t="s">
        <v>35</v>
      </c>
      <c r="T75" s="2" t="s">
        <v>35</v>
      </c>
    </row>
    <row r="76" ht="57.6" hidden="1" spans="1:20">
      <c r="A76" s="2" t="s">
        <v>520</v>
      </c>
      <c r="B76" s="2" t="s">
        <v>501</v>
      </c>
      <c r="C76" s="2" t="s">
        <v>502</v>
      </c>
      <c r="D76" s="2" t="s">
        <v>521</v>
      </c>
      <c r="E76" s="2" t="s">
        <v>39</v>
      </c>
      <c r="F76" s="2" t="s">
        <v>139</v>
      </c>
      <c r="G76" s="2" t="s">
        <v>140</v>
      </c>
      <c r="H76" s="7" t="s">
        <v>26</v>
      </c>
      <c r="I76" s="2" t="s">
        <v>522</v>
      </c>
      <c r="J76" s="2" t="s">
        <v>311</v>
      </c>
      <c r="K76" s="2" t="s">
        <v>404</v>
      </c>
      <c r="L76" s="2" t="s">
        <v>523</v>
      </c>
      <c r="M76" s="2" t="s">
        <v>45</v>
      </c>
      <c r="N76" s="2" t="s">
        <v>32</v>
      </c>
      <c r="O76" s="2" t="s">
        <v>524</v>
      </c>
      <c r="P76" s="3" t="s">
        <v>407</v>
      </c>
      <c r="Q76" s="2" t="s">
        <v>35</v>
      </c>
      <c r="R76" s="2" t="s">
        <v>35</v>
      </c>
      <c r="S76" s="2" t="s">
        <v>35</v>
      </c>
      <c r="T76" s="2" t="s">
        <v>35</v>
      </c>
    </row>
    <row r="77" ht="57.6" hidden="1" spans="1:20">
      <c r="A77" s="2" t="s">
        <v>525</v>
      </c>
      <c r="B77" s="2" t="s">
        <v>501</v>
      </c>
      <c r="C77" s="2" t="s">
        <v>502</v>
      </c>
      <c r="D77" s="2" t="s">
        <v>526</v>
      </c>
      <c r="E77" s="2" t="s">
        <v>39</v>
      </c>
      <c r="F77" s="2" t="s">
        <v>139</v>
      </c>
      <c r="G77" s="2" t="s">
        <v>40</v>
      </c>
      <c r="H77" s="7" t="s">
        <v>26</v>
      </c>
      <c r="I77" s="2" t="s">
        <v>527</v>
      </c>
      <c r="J77" s="2" t="s">
        <v>493</v>
      </c>
      <c r="K77" s="2" t="s">
        <v>494</v>
      </c>
      <c r="L77" s="2" t="s">
        <v>528</v>
      </c>
      <c r="M77" s="2" t="s">
        <v>45</v>
      </c>
      <c r="N77" s="2" t="s">
        <v>32</v>
      </c>
      <c r="O77" s="2" t="s">
        <v>529</v>
      </c>
      <c r="P77" s="2" t="s">
        <v>34</v>
      </c>
      <c r="Q77" s="2" t="s">
        <v>35</v>
      </c>
      <c r="R77" s="2" t="s">
        <v>35</v>
      </c>
      <c r="S77" s="2" t="s">
        <v>35</v>
      </c>
      <c r="T77" s="2" t="s">
        <v>35</v>
      </c>
    </row>
    <row r="78" ht="57.6" hidden="1" spans="1:20">
      <c r="A78" s="2" t="s">
        <v>530</v>
      </c>
      <c r="B78" s="2" t="s">
        <v>531</v>
      </c>
      <c r="C78" s="2" t="s">
        <v>532</v>
      </c>
      <c r="D78" s="2" t="s">
        <v>533</v>
      </c>
      <c r="E78" s="2" t="s">
        <v>39</v>
      </c>
      <c r="F78" s="2" t="s">
        <v>24</v>
      </c>
      <c r="G78" s="2" t="s">
        <v>40</v>
      </c>
      <c r="H78" s="8" t="s">
        <v>41</v>
      </c>
      <c r="I78" s="2" t="s">
        <v>125</v>
      </c>
      <c r="J78" s="2" t="s">
        <v>165</v>
      </c>
      <c r="K78" s="2" t="s">
        <v>166</v>
      </c>
      <c r="L78" s="2" t="s">
        <v>534</v>
      </c>
      <c r="M78" s="2" t="s">
        <v>45</v>
      </c>
      <c r="N78" s="2" t="s">
        <v>32</v>
      </c>
      <c r="O78" s="2" t="s">
        <v>535</v>
      </c>
      <c r="P78" s="2" t="s">
        <v>34</v>
      </c>
      <c r="Q78" s="2" t="s">
        <v>35</v>
      </c>
      <c r="R78" s="2" t="s">
        <v>35</v>
      </c>
      <c r="S78" s="2" t="s">
        <v>35</v>
      </c>
      <c r="T78" s="2" t="s">
        <v>35</v>
      </c>
    </row>
    <row r="79" ht="72" hidden="1" spans="1:20">
      <c r="A79" s="2" t="s">
        <v>536</v>
      </c>
      <c r="B79" s="2" t="s">
        <v>531</v>
      </c>
      <c r="C79" s="2" t="s">
        <v>532</v>
      </c>
      <c r="D79" s="2" t="s">
        <v>537</v>
      </c>
      <c r="E79" s="2" t="s">
        <v>39</v>
      </c>
      <c r="F79" s="2" t="s">
        <v>24</v>
      </c>
      <c r="G79" s="2" t="s">
        <v>40</v>
      </c>
      <c r="H79" s="8" t="s">
        <v>41</v>
      </c>
      <c r="I79" s="2" t="s">
        <v>467</v>
      </c>
      <c r="J79" s="2" t="s">
        <v>165</v>
      </c>
      <c r="K79" s="2" t="s">
        <v>468</v>
      </c>
      <c r="L79" s="2" t="s">
        <v>538</v>
      </c>
      <c r="M79" s="2" t="s">
        <v>45</v>
      </c>
      <c r="N79" s="2" t="s">
        <v>32</v>
      </c>
      <c r="O79" s="2" t="s">
        <v>539</v>
      </c>
      <c r="P79" s="2" t="s">
        <v>34</v>
      </c>
      <c r="Q79" s="2" t="s">
        <v>35</v>
      </c>
      <c r="R79" s="2" t="s">
        <v>35</v>
      </c>
      <c r="S79" s="2" t="s">
        <v>35</v>
      </c>
      <c r="T79" s="2" t="s">
        <v>35</v>
      </c>
    </row>
    <row r="80" ht="57.6" hidden="1" spans="1:20">
      <c r="A80" s="2" t="s">
        <v>540</v>
      </c>
      <c r="B80" s="2" t="s">
        <v>531</v>
      </c>
      <c r="C80" s="2" t="s">
        <v>532</v>
      </c>
      <c r="D80" s="2" t="s">
        <v>541</v>
      </c>
      <c r="E80" s="2" t="s">
        <v>39</v>
      </c>
      <c r="F80" s="2" t="s">
        <v>139</v>
      </c>
      <c r="G80" s="2" t="s">
        <v>40</v>
      </c>
      <c r="H80" s="8" t="s">
        <v>41</v>
      </c>
      <c r="I80" s="2" t="s">
        <v>542</v>
      </c>
      <c r="J80" s="2" t="s">
        <v>126</v>
      </c>
      <c r="K80" s="2" t="s">
        <v>127</v>
      </c>
      <c r="L80" s="2" t="s">
        <v>543</v>
      </c>
      <c r="M80" s="2" t="s">
        <v>45</v>
      </c>
      <c r="N80" s="2" t="s">
        <v>32</v>
      </c>
      <c r="O80" s="2" t="s">
        <v>544</v>
      </c>
      <c r="P80" s="2" t="s">
        <v>34</v>
      </c>
      <c r="Q80" s="2" t="s">
        <v>35</v>
      </c>
      <c r="R80" s="2" t="s">
        <v>35</v>
      </c>
      <c r="S80" s="2" t="s">
        <v>35</v>
      </c>
      <c r="T80" s="2" t="s">
        <v>35</v>
      </c>
    </row>
    <row r="81" ht="57.6" hidden="1" spans="1:20">
      <c r="A81" s="2" t="s">
        <v>545</v>
      </c>
      <c r="B81" s="2" t="s">
        <v>531</v>
      </c>
      <c r="C81" s="2" t="s">
        <v>532</v>
      </c>
      <c r="D81" s="2" t="s">
        <v>546</v>
      </c>
      <c r="E81" s="2" t="s">
        <v>39</v>
      </c>
      <c r="F81" s="2" t="s">
        <v>139</v>
      </c>
      <c r="G81" s="2" t="s">
        <v>140</v>
      </c>
      <c r="H81" s="8" t="s">
        <v>41</v>
      </c>
      <c r="I81" s="2" t="s">
        <v>547</v>
      </c>
      <c r="J81" s="2" t="s">
        <v>425</v>
      </c>
      <c r="K81" s="2" t="s">
        <v>426</v>
      </c>
      <c r="L81" s="2" t="s">
        <v>548</v>
      </c>
      <c r="M81" s="2" t="s">
        <v>45</v>
      </c>
      <c r="N81" s="2" t="s">
        <v>32</v>
      </c>
      <c r="O81" s="2" t="s">
        <v>549</v>
      </c>
      <c r="P81" s="3" t="s">
        <v>429</v>
      </c>
      <c r="Q81" s="2" t="s">
        <v>35</v>
      </c>
      <c r="R81" s="2" t="s">
        <v>35</v>
      </c>
      <c r="S81" s="2" t="s">
        <v>35</v>
      </c>
      <c r="T81" s="2" t="s">
        <v>35</v>
      </c>
    </row>
    <row r="82" ht="57.6" hidden="1" spans="1:20">
      <c r="A82" s="2" t="s">
        <v>550</v>
      </c>
      <c r="B82" s="2" t="s">
        <v>531</v>
      </c>
      <c r="C82" s="2" t="s">
        <v>532</v>
      </c>
      <c r="D82" s="2" t="s">
        <v>551</v>
      </c>
      <c r="E82" s="2" t="s">
        <v>39</v>
      </c>
      <c r="F82" s="2" t="s">
        <v>139</v>
      </c>
      <c r="G82" s="2" t="s">
        <v>40</v>
      </c>
      <c r="H82" s="7" t="s">
        <v>26</v>
      </c>
      <c r="I82" s="2" t="s">
        <v>552</v>
      </c>
      <c r="J82" s="2" t="s">
        <v>311</v>
      </c>
      <c r="K82" s="2" t="s">
        <v>404</v>
      </c>
      <c r="L82" s="2" t="s">
        <v>553</v>
      </c>
      <c r="M82" s="2" t="s">
        <v>45</v>
      </c>
      <c r="N82" s="2" t="s">
        <v>32</v>
      </c>
      <c r="O82" s="2" t="s">
        <v>554</v>
      </c>
      <c r="P82" s="2" t="s">
        <v>34</v>
      </c>
      <c r="Q82" s="2" t="s">
        <v>35</v>
      </c>
      <c r="R82" s="2" t="s">
        <v>35</v>
      </c>
      <c r="S82" s="2" t="s">
        <v>35</v>
      </c>
      <c r="T82" s="2" t="s">
        <v>35</v>
      </c>
    </row>
    <row r="83" ht="57.6" hidden="1" spans="1:20">
      <c r="A83" s="2" t="s">
        <v>555</v>
      </c>
      <c r="B83" s="2" t="s">
        <v>531</v>
      </c>
      <c r="C83" s="2" t="s">
        <v>532</v>
      </c>
      <c r="D83" s="2" t="s">
        <v>556</v>
      </c>
      <c r="E83" s="2" t="s">
        <v>39</v>
      </c>
      <c r="F83" s="2" t="s">
        <v>139</v>
      </c>
      <c r="G83" s="2" t="s">
        <v>140</v>
      </c>
      <c r="H83" s="9" t="s">
        <v>66</v>
      </c>
      <c r="I83" s="2" t="s">
        <v>125</v>
      </c>
      <c r="J83" s="2" t="s">
        <v>557</v>
      </c>
      <c r="K83" s="2" t="s">
        <v>558</v>
      </c>
      <c r="L83" s="2" t="s">
        <v>559</v>
      </c>
      <c r="M83" s="2" t="s">
        <v>45</v>
      </c>
      <c r="N83" s="2" t="s">
        <v>32</v>
      </c>
      <c r="O83" s="2" t="s">
        <v>560</v>
      </c>
      <c r="P83" s="2" t="s">
        <v>34</v>
      </c>
      <c r="Q83" s="2" t="s">
        <v>35</v>
      </c>
      <c r="R83" s="2" t="s">
        <v>35</v>
      </c>
      <c r="S83" s="2" t="s">
        <v>35</v>
      </c>
      <c r="T83" s="2" t="s">
        <v>35</v>
      </c>
    </row>
    <row r="84" ht="57.6" hidden="1" spans="1:20">
      <c r="A84" s="2" t="s">
        <v>561</v>
      </c>
      <c r="B84" s="2" t="s">
        <v>531</v>
      </c>
      <c r="C84" s="2" t="s">
        <v>532</v>
      </c>
      <c r="D84" s="2" t="s">
        <v>562</v>
      </c>
      <c r="E84" s="2" t="s">
        <v>39</v>
      </c>
      <c r="F84" s="2" t="s">
        <v>24</v>
      </c>
      <c r="G84" s="2" t="s">
        <v>40</v>
      </c>
      <c r="H84" s="7" t="s">
        <v>26</v>
      </c>
      <c r="I84" s="2" t="s">
        <v>27</v>
      </c>
      <c r="J84" s="2" t="s">
        <v>107</v>
      </c>
      <c r="K84" s="2" t="s">
        <v>563</v>
      </c>
      <c r="L84" s="2" t="s">
        <v>564</v>
      </c>
      <c r="M84" s="2" t="s">
        <v>488</v>
      </c>
      <c r="N84" s="2" t="s">
        <v>32</v>
      </c>
      <c r="O84" s="2" t="s">
        <v>565</v>
      </c>
      <c r="P84" s="2" t="s">
        <v>34</v>
      </c>
      <c r="Q84" s="2" t="s">
        <v>35</v>
      </c>
      <c r="R84" s="2" t="s">
        <v>35</v>
      </c>
      <c r="S84" s="2" t="s">
        <v>35</v>
      </c>
      <c r="T84" s="2" t="s">
        <v>35</v>
      </c>
    </row>
    <row r="85" ht="72" hidden="1" spans="1:20">
      <c r="A85" s="2" t="s">
        <v>566</v>
      </c>
      <c r="B85" s="2" t="s">
        <v>567</v>
      </c>
      <c r="C85" s="2" t="s">
        <v>568</v>
      </c>
      <c r="D85" s="2" t="s">
        <v>569</v>
      </c>
      <c r="E85" s="2" t="s">
        <v>39</v>
      </c>
      <c r="F85" s="2" t="s">
        <v>163</v>
      </c>
      <c r="G85" s="2" t="s">
        <v>40</v>
      </c>
      <c r="H85" s="9" t="s">
        <v>66</v>
      </c>
      <c r="I85" s="2" t="s">
        <v>570</v>
      </c>
      <c r="J85" s="2" t="s">
        <v>571</v>
      </c>
      <c r="K85" s="2" t="s">
        <v>572</v>
      </c>
      <c r="L85" s="2" t="s">
        <v>573</v>
      </c>
      <c r="M85" s="2" t="s">
        <v>45</v>
      </c>
      <c r="N85" s="2" t="s">
        <v>32</v>
      </c>
      <c r="O85" s="2" t="s">
        <v>574</v>
      </c>
      <c r="P85" s="2" t="s">
        <v>34</v>
      </c>
      <c r="Q85" s="2" t="s">
        <v>35</v>
      </c>
      <c r="R85" s="2" t="s">
        <v>35</v>
      </c>
      <c r="S85" s="2" t="s">
        <v>35</v>
      </c>
      <c r="T85" s="2" t="s">
        <v>35</v>
      </c>
    </row>
    <row r="86" ht="57.6" hidden="1" spans="1:20">
      <c r="A86" s="2" t="s">
        <v>575</v>
      </c>
      <c r="B86" s="2" t="s">
        <v>567</v>
      </c>
      <c r="C86" s="2" t="s">
        <v>102</v>
      </c>
      <c r="D86" s="2" t="s">
        <v>576</v>
      </c>
      <c r="E86" s="2" t="s">
        <v>23</v>
      </c>
      <c r="F86" s="2" t="s">
        <v>24</v>
      </c>
      <c r="G86" s="2" t="s">
        <v>40</v>
      </c>
      <c r="H86" s="7" t="s">
        <v>26</v>
      </c>
      <c r="I86" s="2" t="s">
        <v>125</v>
      </c>
      <c r="J86" s="2" t="s">
        <v>165</v>
      </c>
      <c r="K86" s="2" t="s">
        <v>166</v>
      </c>
      <c r="L86" s="2" t="s">
        <v>577</v>
      </c>
      <c r="M86" s="2" t="s">
        <v>45</v>
      </c>
      <c r="N86" s="2" t="s">
        <v>32</v>
      </c>
      <c r="O86" s="2" t="s">
        <v>578</v>
      </c>
      <c r="P86" s="2" t="s">
        <v>34</v>
      </c>
      <c r="Q86" s="2" t="s">
        <v>35</v>
      </c>
      <c r="R86" s="2" t="s">
        <v>35</v>
      </c>
      <c r="S86" s="2" t="s">
        <v>35</v>
      </c>
      <c r="T86" s="2" t="s">
        <v>35</v>
      </c>
    </row>
    <row r="87" ht="57.6" hidden="1" spans="1:20">
      <c r="A87" s="2" t="s">
        <v>579</v>
      </c>
      <c r="B87" s="2" t="s">
        <v>567</v>
      </c>
      <c r="C87" s="2" t="s">
        <v>102</v>
      </c>
      <c r="D87" s="2" t="s">
        <v>580</v>
      </c>
      <c r="E87" s="2" t="s">
        <v>23</v>
      </c>
      <c r="F87" s="2" t="s">
        <v>76</v>
      </c>
      <c r="G87" s="2" t="s">
        <v>77</v>
      </c>
      <c r="H87" s="7" t="s">
        <v>26</v>
      </c>
      <c r="I87" s="2" t="s">
        <v>581</v>
      </c>
      <c r="J87" s="2" t="s">
        <v>515</v>
      </c>
      <c r="K87" s="2" t="s">
        <v>516</v>
      </c>
      <c r="L87" s="2" t="s">
        <v>582</v>
      </c>
      <c r="M87" s="2" t="s">
        <v>45</v>
      </c>
      <c r="N87" s="2" t="s">
        <v>32</v>
      </c>
      <c r="O87" s="2" t="s">
        <v>583</v>
      </c>
      <c r="P87" s="2" t="s">
        <v>34</v>
      </c>
      <c r="Q87" s="2" t="s">
        <v>35</v>
      </c>
      <c r="R87" s="2" t="s">
        <v>35</v>
      </c>
      <c r="S87" s="2" t="s">
        <v>35</v>
      </c>
      <c r="T87" s="2" t="s">
        <v>35</v>
      </c>
    </row>
    <row r="88" ht="72" hidden="1" spans="1:20">
      <c r="A88" s="2" t="s">
        <v>584</v>
      </c>
      <c r="B88" s="2" t="s">
        <v>567</v>
      </c>
      <c r="C88" s="2" t="s">
        <v>102</v>
      </c>
      <c r="D88" s="2" t="s">
        <v>585</v>
      </c>
      <c r="E88" s="2" t="s">
        <v>23</v>
      </c>
      <c r="F88" s="2" t="s">
        <v>24</v>
      </c>
      <c r="G88" s="2" t="s">
        <v>40</v>
      </c>
      <c r="H88" s="7" t="s">
        <v>26</v>
      </c>
      <c r="I88" s="2" t="s">
        <v>125</v>
      </c>
      <c r="J88" s="2" t="s">
        <v>165</v>
      </c>
      <c r="K88" s="2" t="s">
        <v>586</v>
      </c>
      <c r="L88" s="2" t="s">
        <v>587</v>
      </c>
      <c r="M88" s="2" t="s">
        <v>45</v>
      </c>
      <c r="N88" s="2" t="s">
        <v>32</v>
      </c>
      <c r="O88" s="2" t="s">
        <v>588</v>
      </c>
      <c r="P88" s="3" t="s">
        <v>589</v>
      </c>
      <c r="Q88" s="2" t="s">
        <v>35</v>
      </c>
      <c r="R88" s="2" t="s">
        <v>35</v>
      </c>
      <c r="S88" s="2" t="s">
        <v>35</v>
      </c>
      <c r="T88" s="2" t="s">
        <v>35</v>
      </c>
    </row>
    <row r="89" ht="57.6" hidden="1" spans="1:20">
      <c r="A89" s="2" t="s">
        <v>590</v>
      </c>
      <c r="B89" s="2" t="s">
        <v>567</v>
      </c>
      <c r="C89" s="2" t="s">
        <v>102</v>
      </c>
      <c r="D89" s="2" t="s">
        <v>591</v>
      </c>
      <c r="E89" s="2" t="s">
        <v>23</v>
      </c>
      <c r="F89" s="2" t="s">
        <v>76</v>
      </c>
      <c r="G89" s="2" t="s">
        <v>77</v>
      </c>
      <c r="H89" s="11" t="s">
        <v>592</v>
      </c>
      <c r="I89" s="2" t="s">
        <v>593</v>
      </c>
      <c r="J89" s="2" t="s">
        <v>318</v>
      </c>
      <c r="K89" s="2" t="s">
        <v>373</v>
      </c>
      <c r="L89" s="2" t="s">
        <v>594</v>
      </c>
      <c r="M89" s="2" t="s">
        <v>45</v>
      </c>
      <c r="N89" s="2" t="s">
        <v>32</v>
      </c>
      <c r="O89" s="2" t="s">
        <v>595</v>
      </c>
      <c r="P89" s="10" t="s">
        <v>180</v>
      </c>
      <c r="Q89" s="2" t="s">
        <v>35</v>
      </c>
      <c r="R89" s="2" t="s">
        <v>35</v>
      </c>
      <c r="S89" s="2" t="s">
        <v>35</v>
      </c>
      <c r="T89" s="2" t="s">
        <v>35</v>
      </c>
    </row>
    <row r="90" ht="57.6" hidden="1" spans="1:20">
      <c r="A90" s="2" t="s">
        <v>596</v>
      </c>
      <c r="B90" s="2" t="s">
        <v>567</v>
      </c>
      <c r="C90" s="2" t="s">
        <v>102</v>
      </c>
      <c r="D90" s="2" t="s">
        <v>597</v>
      </c>
      <c r="E90" s="2" t="s">
        <v>23</v>
      </c>
      <c r="F90" s="2" t="s">
        <v>76</v>
      </c>
      <c r="G90" s="2" t="s">
        <v>77</v>
      </c>
      <c r="H90" s="7" t="s">
        <v>26</v>
      </c>
      <c r="I90" s="2" t="s">
        <v>598</v>
      </c>
      <c r="J90" s="2" t="s">
        <v>318</v>
      </c>
      <c r="K90" s="2" t="s">
        <v>373</v>
      </c>
      <c r="L90" s="2" t="s">
        <v>599</v>
      </c>
      <c r="M90" s="2" t="s">
        <v>45</v>
      </c>
      <c r="N90" s="2" t="s">
        <v>32</v>
      </c>
      <c r="O90" s="2" t="s">
        <v>35</v>
      </c>
      <c r="P90" s="10" t="s">
        <v>180</v>
      </c>
      <c r="Q90" s="2" t="s">
        <v>35</v>
      </c>
      <c r="R90" s="2" t="s">
        <v>35</v>
      </c>
      <c r="S90" s="2" t="s">
        <v>35</v>
      </c>
      <c r="T90" s="2" t="s">
        <v>35</v>
      </c>
    </row>
    <row r="91" ht="72" hidden="1" spans="1:20">
      <c r="A91" s="2" t="s">
        <v>600</v>
      </c>
      <c r="B91" s="2" t="s">
        <v>567</v>
      </c>
      <c r="C91" s="2" t="s">
        <v>601</v>
      </c>
      <c r="D91" s="2" t="s">
        <v>602</v>
      </c>
      <c r="E91" s="2" t="s">
        <v>23</v>
      </c>
      <c r="F91" s="2" t="s">
        <v>24</v>
      </c>
      <c r="G91" s="2" t="s">
        <v>25</v>
      </c>
      <c r="H91" s="8" t="s">
        <v>41</v>
      </c>
      <c r="I91" s="2" t="s">
        <v>27</v>
      </c>
      <c r="J91" s="2" t="s">
        <v>232</v>
      </c>
      <c r="K91" s="2" t="s">
        <v>603</v>
      </c>
      <c r="L91" s="2" t="s">
        <v>604</v>
      </c>
      <c r="M91" s="2" t="s">
        <v>45</v>
      </c>
      <c r="N91" s="2" t="s">
        <v>32</v>
      </c>
      <c r="O91" s="2" t="s">
        <v>605</v>
      </c>
      <c r="P91" s="2" t="s">
        <v>34</v>
      </c>
      <c r="Q91" s="2" t="s">
        <v>35</v>
      </c>
      <c r="R91" s="2" t="s">
        <v>35</v>
      </c>
      <c r="S91" s="2" t="s">
        <v>35</v>
      </c>
      <c r="T91" s="2" t="s">
        <v>35</v>
      </c>
    </row>
    <row r="92" ht="43.2" hidden="1" spans="1:20">
      <c r="A92" s="2" t="s">
        <v>606</v>
      </c>
      <c r="B92" s="2" t="s">
        <v>567</v>
      </c>
      <c r="C92" s="2" t="s">
        <v>95</v>
      </c>
      <c r="D92" s="2" t="s">
        <v>607</v>
      </c>
      <c r="E92" s="2" t="s">
        <v>23</v>
      </c>
      <c r="F92" s="2" t="s">
        <v>24</v>
      </c>
      <c r="G92" s="2" t="s">
        <v>25</v>
      </c>
      <c r="H92" s="7" t="s">
        <v>26</v>
      </c>
      <c r="I92" s="2" t="s">
        <v>27</v>
      </c>
      <c r="J92" s="2" t="s">
        <v>608</v>
      </c>
      <c r="K92" s="2" t="s">
        <v>609</v>
      </c>
      <c r="L92" s="2" t="s">
        <v>610</v>
      </c>
      <c r="M92" s="2" t="s">
        <v>45</v>
      </c>
      <c r="N92" s="2" t="s">
        <v>32</v>
      </c>
      <c r="O92" s="2" t="s">
        <v>35</v>
      </c>
      <c r="P92" s="2" t="s">
        <v>34</v>
      </c>
      <c r="Q92" s="2" t="s">
        <v>35</v>
      </c>
      <c r="R92" s="2" t="s">
        <v>35</v>
      </c>
      <c r="S92" s="2" t="s">
        <v>35</v>
      </c>
      <c r="T92" s="2" t="s">
        <v>35</v>
      </c>
    </row>
    <row r="93" ht="86.4" hidden="1" spans="1:20">
      <c r="A93" s="2" t="s">
        <v>611</v>
      </c>
      <c r="B93" s="2" t="s">
        <v>567</v>
      </c>
      <c r="C93" s="2" t="s">
        <v>95</v>
      </c>
      <c r="D93" s="2" t="s">
        <v>612</v>
      </c>
      <c r="E93" s="2" t="s">
        <v>23</v>
      </c>
      <c r="F93" s="2" t="s">
        <v>24</v>
      </c>
      <c r="G93" s="2" t="s">
        <v>25</v>
      </c>
      <c r="H93" s="7" t="s">
        <v>26</v>
      </c>
      <c r="I93" s="2" t="s">
        <v>613</v>
      </c>
      <c r="J93" s="2" t="s">
        <v>165</v>
      </c>
      <c r="K93" s="2" t="s">
        <v>614</v>
      </c>
      <c r="L93" s="2" t="s">
        <v>615</v>
      </c>
      <c r="M93" s="2" t="s">
        <v>45</v>
      </c>
      <c r="N93" s="2" t="s">
        <v>32</v>
      </c>
      <c r="O93" s="2" t="s">
        <v>35</v>
      </c>
      <c r="P93" s="2" t="s">
        <v>34</v>
      </c>
      <c r="Q93" s="2" t="s">
        <v>35</v>
      </c>
      <c r="R93" s="2" t="s">
        <v>35</v>
      </c>
      <c r="S93" s="2" t="s">
        <v>35</v>
      </c>
      <c r="T93" s="2" t="s">
        <v>35</v>
      </c>
    </row>
    <row r="94" ht="72" hidden="1" spans="1:20">
      <c r="A94" s="2" t="s">
        <v>616</v>
      </c>
      <c r="B94" s="2" t="s">
        <v>567</v>
      </c>
      <c r="C94" s="2" t="s">
        <v>601</v>
      </c>
      <c r="D94" s="2" t="s">
        <v>617</v>
      </c>
      <c r="E94" s="2" t="s">
        <v>39</v>
      </c>
      <c r="F94" s="2" t="s">
        <v>24</v>
      </c>
      <c r="G94" s="2" t="s">
        <v>40</v>
      </c>
      <c r="H94" s="9" t="s">
        <v>66</v>
      </c>
      <c r="I94" s="2" t="s">
        <v>27</v>
      </c>
      <c r="J94" s="2" t="s">
        <v>107</v>
      </c>
      <c r="K94" s="2" t="s">
        <v>618</v>
      </c>
      <c r="L94" s="2" t="s">
        <v>619</v>
      </c>
      <c r="M94" s="2" t="s">
        <v>488</v>
      </c>
      <c r="N94" s="2" t="s">
        <v>32</v>
      </c>
      <c r="O94" s="2" t="s">
        <v>620</v>
      </c>
      <c r="P94" s="2" t="s">
        <v>34</v>
      </c>
      <c r="Q94" s="2" t="s">
        <v>35</v>
      </c>
      <c r="R94" s="2" t="s">
        <v>35</v>
      </c>
      <c r="S94" s="2" t="s">
        <v>35</v>
      </c>
      <c r="T94" s="2" t="s">
        <v>35</v>
      </c>
    </row>
    <row r="95" ht="43.2" hidden="1" spans="1:20">
      <c r="A95" s="2" t="s">
        <v>621</v>
      </c>
      <c r="B95" s="2" t="s">
        <v>567</v>
      </c>
      <c r="C95" s="2" t="s">
        <v>95</v>
      </c>
      <c r="D95" s="2" t="s">
        <v>622</v>
      </c>
      <c r="E95" s="2" t="s">
        <v>23</v>
      </c>
      <c r="F95" s="2" t="s">
        <v>24</v>
      </c>
      <c r="G95" s="2" t="s">
        <v>25</v>
      </c>
      <c r="H95" s="7" t="s">
        <v>26</v>
      </c>
      <c r="I95" s="2" t="s">
        <v>42</v>
      </c>
      <c r="J95" s="2" t="s">
        <v>28</v>
      </c>
      <c r="K95" s="2" t="s">
        <v>623</v>
      </c>
      <c r="L95" s="2" t="s">
        <v>624</v>
      </c>
      <c r="M95" s="2" t="s">
        <v>45</v>
      </c>
      <c r="N95" s="2" t="s">
        <v>32</v>
      </c>
      <c r="O95" s="2" t="s">
        <v>35</v>
      </c>
      <c r="P95" s="2" t="s">
        <v>34</v>
      </c>
      <c r="Q95" s="2" t="s">
        <v>35</v>
      </c>
      <c r="R95" s="2" t="s">
        <v>35</v>
      </c>
      <c r="S95" s="2" t="s">
        <v>35</v>
      </c>
      <c r="T95" s="2" t="s">
        <v>35</v>
      </c>
    </row>
    <row r="96" ht="115.2" hidden="1" spans="1:20">
      <c r="A96" s="2" t="s">
        <v>625</v>
      </c>
      <c r="B96" s="2" t="s">
        <v>567</v>
      </c>
      <c r="C96" s="2" t="s">
        <v>102</v>
      </c>
      <c r="D96" s="2" t="s">
        <v>626</v>
      </c>
      <c r="E96" s="2" t="s">
        <v>23</v>
      </c>
      <c r="F96" s="2" t="s">
        <v>24</v>
      </c>
      <c r="G96" s="2" t="s">
        <v>25</v>
      </c>
      <c r="H96" s="7" t="s">
        <v>26</v>
      </c>
      <c r="I96" s="2" t="s">
        <v>42</v>
      </c>
      <c r="J96" s="2" t="s">
        <v>28</v>
      </c>
      <c r="K96" s="2" t="s">
        <v>627</v>
      </c>
      <c r="L96" s="2" t="s">
        <v>628</v>
      </c>
      <c r="M96" s="2" t="s">
        <v>45</v>
      </c>
      <c r="N96" s="2" t="s">
        <v>32</v>
      </c>
      <c r="O96" s="2" t="s">
        <v>629</v>
      </c>
      <c r="P96" s="3" t="s">
        <v>630</v>
      </c>
      <c r="Q96" s="2" t="s">
        <v>35</v>
      </c>
      <c r="R96" s="2" t="s">
        <v>35</v>
      </c>
      <c r="S96" s="2" t="s">
        <v>35</v>
      </c>
      <c r="T96" s="2" t="s">
        <v>35</v>
      </c>
    </row>
    <row r="97" ht="57.6" hidden="1" spans="1:20">
      <c r="A97" s="2" t="s">
        <v>631</v>
      </c>
      <c r="B97" s="2" t="s">
        <v>567</v>
      </c>
      <c r="C97" s="2" t="s">
        <v>632</v>
      </c>
      <c r="D97" s="2" t="s">
        <v>633</v>
      </c>
      <c r="E97" s="2" t="s">
        <v>23</v>
      </c>
      <c r="F97" s="2" t="s">
        <v>24</v>
      </c>
      <c r="G97" s="2" t="s">
        <v>25</v>
      </c>
      <c r="H97" s="7" t="s">
        <v>26</v>
      </c>
      <c r="I97" s="2" t="s">
        <v>42</v>
      </c>
      <c r="J97" s="2" t="s">
        <v>28</v>
      </c>
      <c r="K97" s="2" t="s">
        <v>91</v>
      </c>
      <c r="L97" s="2" t="s">
        <v>634</v>
      </c>
      <c r="M97" s="2" t="s">
        <v>31</v>
      </c>
      <c r="N97" s="2" t="s">
        <v>32</v>
      </c>
      <c r="O97" s="2" t="s">
        <v>35</v>
      </c>
      <c r="P97" s="2" t="s">
        <v>34</v>
      </c>
      <c r="Q97" s="2" t="s">
        <v>35</v>
      </c>
      <c r="R97" s="2" t="s">
        <v>35</v>
      </c>
      <c r="S97" s="2" t="s">
        <v>35</v>
      </c>
      <c r="T97" s="2" t="s">
        <v>35</v>
      </c>
    </row>
    <row r="98" ht="57.6" hidden="1" spans="1:20">
      <c r="A98" s="2" t="s">
        <v>635</v>
      </c>
      <c r="B98" s="2" t="s">
        <v>636</v>
      </c>
      <c r="C98" s="2" t="s">
        <v>637</v>
      </c>
      <c r="D98" s="2" t="s">
        <v>638</v>
      </c>
      <c r="E98" s="2" t="s">
        <v>39</v>
      </c>
      <c r="F98" s="2" t="s">
        <v>24</v>
      </c>
      <c r="G98" s="2" t="s">
        <v>40</v>
      </c>
      <c r="H98" s="8" t="s">
        <v>41</v>
      </c>
      <c r="I98" s="2" t="s">
        <v>639</v>
      </c>
      <c r="J98" s="2" t="s">
        <v>298</v>
      </c>
      <c r="K98" s="2" t="s">
        <v>299</v>
      </c>
      <c r="L98" s="2" t="s">
        <v>640</v>
      </c>
      <c r="M98" s="2" t="s">
        <v>45</v>
      </c>
      <c r="N98" s="2" t="s">
        <v>32</v>
      </c>
      <c r="O98" s="2" t="s">
        <v>641</v>
      </c>
      <c r="P98" s="3" t="s">
        <v>642</v>
      </c>
      <c r="Q98" s="2" t="s">
        <v>35</v>
      </c>
      <c r="R98" s="2" t="s">
        <v>35</v>
      </c>
      <c r="S98" s="2" t="s">
        <v>35</v>
      </c>
      <c r="T98" s="2" t="s">
        <v>35</v>
      </c>
    </row>
    <row r="99" ht="72" hidden="1" spans="1:20">
      <c r="A99" s="2" t="s">
        <v>643</v>
      </c>
      <c r="B99" s="2" t="s">
        <v>636</v>
      </c>
      <c r="C99" s="2" t="s">
        <v>637</v>
      </c>
      <c r="D99" s="2" t="s">
        <v>644</v>
      </c>
      <c r="E99" s="2" t="s">
        <v>39</v>
      </c>
      <c r="F99" s="2" t="s">
        <v>163</v>
      </c>
      <c r="G99" s="2" t="s">
        <v>40</v>
      </c>
      <c r="H99" s="7" t="s">
        <v>26</v>
      </c>
      <c r="I99" s="2" t="s">
        <v>645</v>
      </c>
      <c r="J99" s="2" t="s">
        <v>646</v>
      </c>
      <c r="K99" s="2" t="s">
        <v>647</v>
      </c>
      <c r="L99" s="2" t="s">
        <v>648</v>
      </c>
      <c r="M99" s="2" t="s">
        <v>45</v>
      </c>
      <c r="N99" s="2" t="s">
        <v>32</v>
      </c>
      <c r="O99" s="2" t="s">
        <v>649</v>
      </c>
      <c r="P99" s="3" t="s">
        <v>650</v>
      </c>
      <c r="Q99" s="2" t="s">
        <v>35</v>
      </c>
      <c r="R99" s="2" t="s">
        <v>35</v>
      </c>
      <c r="S99" s="2" t="s">
        <v>35</v>
      </c>
      <c r="T99" s="2" t="s">
        <v>35</v>
      </c>
    </row>
    <row r="100" ht="72" hidden="1" spans="1:20">
      <c r="A100" s="2" t="s">
        <v>651</v>
      </c>
      <c r="B100" s="2" t="s">
        <v>636</v>
      </c>
      <c r="C100" s="2" t="s">
        <v>637</v>
      </c>
      <c r="D100" s="2" t="s">
        <v>652</v>
      </c>
      <c r="E100" s="2" t="s">
        <v>39</v>
      </c>
      <c r="F100" s="2" t="s">
        <v>24</v>
      </c>
      <c r="G100" s="2" t="s">
        <v>140</v>
      </c>
      <c r="H100" s="8" t="s">
        <v>41</v>
      </c>
      <c r="I100" s="2" t="s">
        <v>653</v>
      </c>
      <c r="J100" s="2" t="s">
        <v>318</v>
      </c>
      <c r="K100" s="2" t="s">
        <v>333</v>
      </c>
      <c r="L100" s="2" t="s">
        <v>654</v>
      </c>
      <c r="M100" s="2" t="s">
        <v>45</v>
      </c>
      <c r="N100" s="2" t="s">
        <v>32</v>
      </c>
      <c r="O100" s="2" t="s">
        <v>655</v>
      </c>
      <c r="P100" s="10" t="s">
        <v>656</v>
      </c>
      <c r="Q100" s="2" t="s">
        <v>35</v>
      </c>
      <c r="R100" s="2" t="s">
        <v>35</v>
      </c>
      <c r="S100" s="2" t="s">
        <v>35</v>
      </c>
      <c r="T100" s="2" t="s">
        <v>35</v>
      </c>
    </row>
    <row r="101" ht="72" hidden="1" spans="1:20">
      <c r="A101" s="2" t="s">
        <v>657</v>
      </c>
      <c r="B101" s="2" t="s">
        <v>636</v>
      </c>
      <c r="C101" s="2" t="s">
        <v>637</v>
      </c>
      <c r="D101" s="2" t="s">
        <v>658</v>
      </c>
      <c r="E101" s="2" t="s">
        <v>39</v>
      </c>
      <c r="F101" s="2" t="s">
        <v>163</v>
      </c>
      <c r="G101" s="2" t="s">
        <v>140</v>
      </c>
      <c r="H101" s="7" t="s">
        <v>26</v>
      </c>
      <c r="I101" s="2" t="s">
        <v>653</v>
      </c>
      <c r="J101" s="2" t="s">
        <v>318</v>
      </c>
      <c r="K101" s="2" t="s">
        <v>659</v>
      </c>
      <c r="L101" s="2" t="s">
        <v>660</v>
      </c>
      <c r="M101" s="2" t="s">
        <v>45</v>
      </c>
      <c r="N101" s="2" t="s">
        <v>32</v>
      </c>
      <c r="O101" s="2" t="s">
        <v>661</v>
      </c>
      <c r="P101" s="10" t="s">
        <v>180</v>
      </c>
      <c r="Q101" s="2" t="s">
        <v>35</v>
      </c>
      <c r="R101" s="2" t="s">
        <v>35</v>
      </c>
      <c r="S101" s="2" t="s">
        <v>35</v>
      </c>
      <c r="T101" s="2" t="s">
        <v>35</v>
      </c>
    </row>
    <row r="102" ht="72" hidden="1" spans="1:20">
      <c r="A102" s="2" t="s">
        <v>662</v>
      </c>
      <c r="B102" s="2" t="s">
        <v>636</v>
      </c>
      <c r="C102" s="2" t="s">
        <v>637</v>
      </c>
      <c r="D102" s="2" t="s">
        <v>663</v>
      </c>
      <c r="E102" s="2" t="s">
        <v>39</v>
      </c>
      <c r="F102" s="2" t="s">
        <v>24</v>
      </c>
      <c r="G102" s="2" t="s">
        <v>40</v>
      </c>
      <c r="H102" s="7" t="s">
        <v>26</v>
      </c>
      <c r="I102" s="2" t="s">
        <v>664</v>
      </c>
      <c r="J102" s="2" t="s">
        <v>665</v>
      </c>
      <c r="K102" s="2" t="s">
        <v>666</v>
      </c>
      <c r="L102" s="2" t="s">
        <v>667</v>
      </c>
      <c r="M102" s="2" t="s">
        <v>45</v>
      </c>
      <c r="N102" s="2" t="s">
        <v>32</v>
      </c>
      <c r="O102" s="2" t="s">
        <v>668</v>
      </c>
      <c r="P102" s="3" t="s">
        <v>642</v>
      </c>
      <c r="Q102" s="2" t="s">
        <v>35</v>
      </c>
      <c r="R102" s="2" t="s">
        <v>35</v>
      </c>
      <c r="S102" s="2" t="s">
        <v>35</v>
      </c>
      <c r="T102" s="2" t="s">
        <v>35</v>
      </c>
    </row>
    <row r="103" ht="57.6" hidden="1" spans="1:20">
      <c r="A103" s="2" t="s">
        <v>669</v>
      </c>
      <c r="B103" s="2" t="s">
        <v>670</v>
      </c>
      <c r="C103" s="2" t="s">
        <v>671</v>
      </c>
      <c r="D103" s="2" t="s">
        <v>672</v>
      </c>
      <c r="E103" s="2" t="s">
        <v>39</v>
      </c>
      <c r="F103" s="2" t="s">
        <v>24</v>
      </c>
      <c r="G103" s="2" t="s">
        <v>324</v>
      </c>
      <c r="H103" s="8" t="s">
        <v>41</v>
      </c>
      <c r="I103" s="2" t="s">
        <v>673</v>
      </c>
      <c r="J103" s="2" t="s">
        <v>232</v>
      </c>
      <c r="K103" s="2" t="s">
        <v>674</v>
      </c>
      <c r="L103" s="2" t="s">
        <v>675</v>
      </c>
      <c r="M103" s="2" t="s">
        <v>45</v>
      </c>
      <c r="N103" s="2" t="s">
        <v>32</v>
      </c>
      <c r="O103" s="2" t="s">
        <v>676</v>
      </c>
      <c r="P103" s="2" t="s">
        <v>34</v>
      </c>
      <c r="Q103" s="2" t="s">
        <v>35</v>
      </c>
      <c r="R103" s="2" t="s">
        <v>35</v>
      </c>
      <c r="S103" s="2" t="s">
        <v>35</v>
      </c>
      <c r="T103" s="2" t="s">
        <v>35</v>
      </c>
    </row>
    <row r="104" ht="72" hidden="1" spans="1:20">
      <c r="A104" s="2" t="s">
        <v>677</v>
      </c>
      <c r="B104" s="2" t="s">
        <v>670</v>
      </c>
      <c r="C104" s="2" t="s">
        <v>671</v>
      </c>
      <c r="D104" s="2" t="s">
        <v>678</v>
      </c>
      <c r="E104" s="2" t="s">
        <v>39</v>
      </c>
      <c r="F104" s="2" t="s">
        <v>24</v>
      </c>
      <c r="G104" s="2" t="s">
        <v>140</v>
      </c>
      <c r="H104" s="8" t="s">
        <v>41</v>
      </c>
      <c r="I104" s="2" t="s">
        <v>27</v>
      </c>
      <c r="J104" s="2" t="s">
        <v>150</v>
      </c>
      <c r="K104" s="2" t="s">
        <v>679</v>
      </c>
      <c r="L104" s="2" t="s">
        <v>680</v>
      </c>
      <c r="M104" s="2" t="s">
        <v>45</v>
      </c>
      <c r="N104" s="2" t="s">
        <v>32</v>
      </c>
      <c r="O104" s="2" t="s">
        <v>681</v>
      </c>
      <c r="P104" s="2" t="s">
        <v>34</v>
      </c>
      <c r="Q104" s="2" t="s">
        <v>35</v>
      </c>
      <c r="R104" s="2" t="s">
        <v>35</v>
      </c>
      <c r="S104" s="2" t="s">
        <v>35</v>
      </c>
      <c r="T104" s="2" t="s">
        <v>35</v>
      </c>
    </row>
    <row r="105" ht="72" hidden="1" spans="1:20">
      <c r="A105" s="2" t="s">
        <v>682</v>
      </c>
      <c r="B105" s="2" t="s">
        <v>670</v>
      </c>
      <c r="C105" s="2" t="s">
        <v>671</v>
      </c>
      <c r="D105" s="2" t="s">
        <v>683</v>
      </c>
      <c r="E105" s="2" t="s">
        <v>39</v>
      </c>
      <c r="F105" s="2" t="s">
        <v>24</v>
      </c>
      <c r="G105" s="2" t="s">
        <v>140</v>
      </c>
      <c r="H105" s="8" t="s">
        <v>41</v>
      </c>
      <c r="I105" s="2" t="s">
        <v>27</v>
      </c>
      <c r="J105" s="2" t="s">
        <v>150</v>
      </c>
      <c r="K105" s="2" t="s">
        <v>684</v>
      </c>
      <c r="L105" s="2" t="s">
        <v>685</v>
      </c>
      <c r="M105" s="2" t="s">
        <v>45</v>
      </c>
      <c r="N105" s="2" t="s">
        <v>32</v>
      </c>
      <c r="O105" s="2" t="s">
        <v>686</v>
      </c>
      <c r="P105" s="2" t="s">
        <v>34</v>
      </c>
      <c r="Q105" s="2" t="s">
        <v>35</v>
      </c>
      <c r="R105" s="2" t="s">
        <v>35</v>
      </c>
      <c r="S105" s="2" t="s">
        <v>35</v>
      </c>
      <c r="T105" s="2" t="s">
        <v>35</v>
      </c>
    </row>
    <row r="106" ht="72" hidden="1" spans="1:20">
      <c r="A106" s="2" t="s">
        <v>687</v>
      </c>
      <c r="B106" s="2" t="s">
        <v>670</v>
      </c>
      <c r="C106" s="2" t="s">
        <v>671</v>
      </c>
      <c r="D106" s="2" t="s">
        <v>688</v>
      </c>
      <c r="E106" s="2" t="s">
        <v>39</v>
      </c>
      <c r="F106" s="2" t="s">
        <v>139</v>
      </c>
      <c r="G106" s="2" t="s">
        <v>140</v>
      </c>
      <c r="H106" s="8" t="s">
        <v>41</v>
      </c>
      <c r="I106" s="2" t="s">
        <v>689</v>
      </c>
      <c r="J106" s="2" t="s">
        <v>690</v>
      </c>
      <c r="K106" s="2" t="s">
        <v>691</v>
      </c>
      <c r="L106" s="2" t="s">
        <v>692</v>
      </c>
      <c r="M106" s="2" t="s">
        <v>45</v>
      </c>
      <c r="N106" s="2" t="s">
        <v>32</v>
      </c>
      <c r="O106" s="2" t="s">
        <v>693</v>
      </c>
      <c r="P106" s="3" t="s">
        <v>694</v>
      </c>
      <c r="Q106" s="2" t="s">
        <v>35</v>
      </c>
      <c r="R106" s="2" t="s">
        <v>35</v>
      </c>
      <c r="S106" s="2" t="s">
        <v>35</v>
      </c>
      <c r="T106" s="2" t="s">
        <v>35</v>
      </c>
    </row>
    <row r="107" ht="86.4" hidden="1" spans="1:20">
      <c r="A107" s="2" t="s">
        <v>695</v>
      </c>
      <c r="B107" s="2" t="s">
        <v>670</v>
      </c>
      <c r="C107" s="2" t="s">
        <v>671</v>
      </c>
      <c r="D107" s="2" t="s">
        <v>696</v>
      </c>
      <c r="E107" s="2" t="s">
        <v>39</v>
      </c>
      <c r="F107" s="2" t="s">
        <v>139</v>
      </c>
      <c r="G107" s="2" t="s">
        <v>140</v>
      </c>
      <c r="H107" s="8" t="s">
        <v>41</v>
      </c>
      <c r="I107" s="2" t="s">
        <v>697</v>
      </c>
      <c r="J107" s="2" t="s">
        <v>698</v>
      </c>
      <c r="K107" s="2" t="s">
        <v>699</v>
      </c>
      <c r="L107" s="2" t="s">
        <v>700</v>
      </c>
      <c r="M107" s="2" t="s">
        <v>45</v>
      </c>
      <c r="N107" s="2" t="s">
        <v>32</v>
      </c>
      <c r="O107" s="2" t="s">
        <v>701</v>
      </c>
      <c r="P107" s="3" t="s">
        <v>702</v>
      </c>
      <c r="Q107" s="2" t="s">
        <v>35</v>
      </c>
      <c r="R107" s="2" t="s">
        <v>35</v>
      </c>
      <c r="S107" s="2" t="s">
        <v>35</v>
      </c>
      <c r="T107" s="2" t="s">
        <v>35</v>
      </c>
    </row>
    <row r="108" ht="57.6" hidden="1" spans="1:20">
      <c r="A108" s="2" t="s">
        <v>703</v>
      </c>
      <c r="B108" s="2" t="s">
        <v>670</v>
      </c>
      <c r="C108" s="2" t="s">
        <v>671</v>
      </c>
      <c r="D108" s="2" t="s">
        <v>704</v>
      </c>
      <c r="E108" s="2" t="s">
        <v>39</v>
      </c>
      <c r="F108" s="2" t="s">
        <v>24</v>
      </c>
      <c r="G108" s="2" t="s">
        <v>324</v>
      </c>
      <c r="H108" s="8" t="s">
        <v>41</v>
      </c>
      <c r="I108" s="2" t="s">
        <v>27</v>
      </c>
      <c r="J108" s="2" t="s">
        <v>608</v>
      </c>
      <c r="K108" s="2" t="s">
        <v>705</v>
      </c>
      <c r="L108" s="2" t="s">
        <v>706</v>
      </c>
      <c r="M108" s="2" t="s">
        <v>45</v>
      </c>
      <c r="N108" s="2" t="s">
        <v>32</v>
      </c>
      <c r="O108" s="2" t="s">
        <v>707</v>
      </c>
      <c r="P108" s="2" t="s">
        <v>34</v>
      </c>
      <c r="Q108" s="2" t="s">
        <v>35</v>
      </c>
      <c r="R108" s="2" t="s">
        <v>35</v>
      </c>
      <c r="S108" s="2" t="s">
        <v>35</v>
      </c>
      <c r="T108" s="2" t="s">
        <v>35</v>
      </c>
    </row>
    <row r="109" ht="57.6" hidden="1" spans="1:20">
      <c r="A109" s="2" t="s">
        <v>708</v>
      </c>
      <c r="B109" s="2" t="s">
        <v>670</v>
      </c>
      <c r="C109" s="2" t="s">
        <v>671</v>
      </c>
      <c r="D109" s="2" t="s">
        <v>709</v>
      </c>
      <c r="E109" s="2" t="s">
        <v>39</v>
      </c>
      <c r="F109" s="2" t="s">
        <v>76</v>
      </c>
      <c r="G109" s="2" t="s">
        <v>77</v>
      </c>
      <c r="H109" s="8" t="s">
        <v>41</v>
      </c>
      <c r="I109" s="2" t="s">
        <v>42</v>
      </c>
      <c r="J109" s="2" t="s">
        <v>710</v>
      </c>
      <c r="K109" s="2" t="s">
        <v>711</v>
      </c>
      <c r="L109" s="2" t="s">
        <v>712</v>
      </c>
      <c r="M109" s="2" t="s">
        <v>45</v>
      </c>
      <c r="N109" s="2" t="s">
        <v>32</v>
      </c>
      <c r="O109" s="2" t="s">
        <v>713</v>
      </c>
      <c r="P109" s="2" t="s">
        <v>34</v>
      </c>
      <c r="Q109" s="2" t="s">
        <v>35</v>
      </c>
      <c r="R109" s="2" t="s">
        <v>35</v>
      </c>
      <c r="S109" s="2" t="s">
        <v>35</v>
      </c>
      <c r="T109" s="2" t="s">
        <v>35</v>
      </c>
    </row>
    <row r="110" ht="86.4" hidden="1" spans="1:20">
      <c r="A110" s="2" t="s">
        <v>714</v>
      </c>
      <c r="B110" s="2" t="s">
        <v>670</v>
      </c>
      <c r="C110" s="2" t="s">
        <v>671</v>
      </c>
      <c r="D110" s="2" t="s">
        <v>715</v>
      </c>
      <c r="E110" s="2" t="s">
        <v>39</v>
      </c>
      <c r="F110" s="2" t="s">
        <v>24</v>
      </c>
      <c r="G110" s="2" t="s">
        <v>324</v>
      </c>
      <c r="H110" s="8" t="s">
        <v>41</v>
      </c>
      <c r="I110" s="2" t="s">
        <v>27</v>
      </c>
      <c r="J110" s="2" t="s">
        <v>716</v>
      </c>
      <c r="K110" s="2" t="s">
        <v>717</v>
      </c>
      <c r="L110" s="2" t="s">
        <v>718</v>
      </c>
      <c r="M110" s="2" t="s">
        <v>45</v>
      </c>
      <c r="N110" s="2" t="s">
        <v>32</v>
      </c>
      <c r="O110" s="2" t="s">
        <v>719</v>
      </c>
      <c r="P110" s="2" t="s">
        <v>34</v>
      </c>
      <c r="Q110" s="2" t="s">
        <v>35</v>
      </c>
      <c r="R110" s="2" t="s">
        <v>35</v>
      </c>
      <c r="S110" s="2" t="s">
        <v>35</v>
      </c>
      <c r="T110" s="2" t="s">
        <v>35</v>
      </c>
    </row>
    <row r="111" ht="100.8" hidden="1" spans="1:20">
      <c r="A111" s="2" t="s">
        <v>720</v>
      </c>
      <c r="B111" s="2" t="s">
        <v>670</v>
      </c>
      <c r="C111" s="2" t="s">
        <v>671</v>
      </c>
      <c r="D111" s="2" t="s">
        <v>721</v>
      </c>
      <c r="E111" s="2" t="s">
        <v>39</v>
      </c>
      <c r="F111" s="2" t="s">
        <v>24</v>
      </c>
      <c r="G111" s="2" t="s">
        <v>324</v>
      </c>
      <c r="H111" s="8" t="s">
        <v>41</v>
      </c>
      <c r="I111" s="2" t="s">
        <v>27</v>
      </c>
      <c r="J111" s="2" t="s">
        <v>722</v>
      </c>
      <c r="K111" s="2" t="s">
        <v>723</v>
      </c>
      <c r="L111" s="2" t="s">
        <v>724</v>
      </c>
      <c r="M111" s="2" t="s">
        <v>45</v>
      </c>
      <c r="N111" s="2" t="s">
        <v>32</v>
      </c>
      <c r="O111" s="2" t="s">
        <v>35</v>
      </c>
      <c r="P111" s="2" t="s">
        <v>34</v>
      </c>
      <c r="Q111" s="2" t="s">
        <v>35</v>
      </c>
      <c r="R111" s="2" t="s">
        <v>35</v>
      </c>
      <c r="S111" s="2" t="s">
        <v>35</v>
      </c>
      <c r="T111" s="2" t="s">
        <v>35</v>
      </c>
    </row>
    <row r="112" ht="100.8" hidden="1" spans="1:20">
      <c r="A112" s="2" t="s">
        <v>725</v>
      </c>
      <c r="B112" s="2" t="s">
        <v>670</v>
      </c>
      <c r="C112" s="2" t="s">
        <v>671</v>
      </c>
      <c r="D112" s="2" t="s">
        <v>726</v>
      </c>
      <c r="E112" s="2" t="s">
        <v>39</v>
      </c>
      <c r="F112" s="2" t="s">
        <v>139</v>
      </c>
      <c r="G112" s="2" t="s">
        <v>324</v>
      </c>
      <c r="H112" s="8" t="s">
        <v>41</v>
      </c>
      <c r="I112" s="2" t="s">
        <v>727</v>
      </c>
      <c r="J112" s="2" t="s">
        <v>728</v>
      </c>
      <c r="K112" s="2" t="s">
        <v>729</v>
      </c>
      <c r="L112" s="2" t="s">
        <v>730</v>
      </c>
      <c r="M112" s="2" t="s">
        <v>45</v>
      </c>
      <c r="N112" s="2" t="s">
        <v>32</v>
      </c>
      <c r="O112" s="2" t="s">
        <v>35</v>
      </c>
      <c r="P112" s="2" t="s">
        <v>34</v>
      </c>
      <c r="Q112" s="2" t="s">
        <v>35</v>
      </c>
      <c r="R112" s="2" t="s">
        <v>35</v>
      </c>
      <c r="S112" s="2" t="s">
        <v>35</v>
      </c>
      <c r="T112" s="2" t="s">
        <v>35</v>
      </c>
    </row>
    <row r="113" ht="86.4" hidden="1" spans="1:20">
      <c r="A113" s="2" t="s">
        <v>731</v>
      </c>
      <c r="B113" s="2" t="s">
        <v>670</v>
      </c>
      <c r="C113" s="2" t="s">
        <v>671</v>
      </c>
      <c r="D113" s="2" t="s">
        <v>732</v>
      </c>
      <c r="E113" s="2" t="s">
        <v>23</v>
      </c>
      <c r="F113" s="2" t="s">
        <v>163</v>
      </c>
      <c r="G113" s="2" t="s">
        <v>324</v>
      </c>
      <c r="H113" s="7" t="s">
        <v>26</v>
      </c>
      <c r="I113" s="2" t="s">
        <v>27</v>
      </c>
      <c r="J113" s="2" t="s">
        <v>150</v>
      </c>
      <c r="K113" s="2" t="s">
        <v>733</v>
      </c>
      <c r="L113" s="2" t="s">
        <v>734</v>
      </c>
      <c r="M113" s="2" t="s">
        <v>45</v>
      </c>
      <c r="N113" s="2" t="s">
        <v>32</v>
      </c>
      <c r="O113" s="2" t="s">
        <v>35</v>
      </c>
      <c r="P113" s="2" t="s">
        <v>34</v>
      </c>
      <c r="Q113" s="2" t="s">
        <v>35</v>
      </c>
      <c r="R113" s="2" t="s">
        <v>35</v>
      </c>
      <c r="S113" s="2" t="s">
        <v>35</v>
      </c>
      <c r="T113" s="2" t="s">
        <v>35</v>
      </c>
    </row>
    <row r="114" ht="72" hidden="1" spans="1:20">
      <c r="A114" s="2" t="s">
        <v>735</v>
      </c>
      <c r="B114" s="2" t="s">
        <v>670</v>
      </c>
      <c r="C114" s="2" t="s">
        <v>671</v>
      </c>
      <c r="D114" s="2" t="s">
        <v>736</v>
      </c>
      <c r="E114" s="2" t="s">
        <v>39</v>
      </c>
      <c r="F114" s="2" t="s">
        <v>24</v>
      </c>
      <c r="G114" s="2" t="s">
        <v>324</v>
      </c>
      <c r="H114" s="8" t="s">
        <v>41</v>
      </c>
      <c r="I114" s="2" t="s">
        <v>27</v>
      </c>
      <c r="J114" s="2" t="s">
        <v>232</v>
      </c>
      <c r="K114" s="2" t="s">
        <v>737</v>
      </c>
      <c r="L114" s="2" t="s">
        <v>738</v>
      </c>
      <c r="M114" s="2" t="s">
        <v>45</v>
      </c>
      <c r="N114" s="2" t="s">
        <v>32</v>
      </c>
      <c r="O114" s="2" t="s">
        <v>739</v>
      </c>
      <c r="P114" s="2" t="s">
        <v>34</v>
      </c>
      <c r="Q114" s="2" t="s">
        <v>35</v>
      </c>
      <c r="R114" s="2" t="s">
        <v>35</v>
      </c>
      <c r="S114" s="2" t="s">
        <v>35</v>
      </c>
      <c r="T114" s="2" t="s">
        <v>35</v>
      </c>
    </row>
    <row r="115" ht="57.6" hidden="1" spans="1:20">
      <c r="A115" s="2" t="s">
        <v>740</v>
      </c>
      <c r="B115" s="2" t="s">
        <v>670</v>
      </c>
      <c r="C115" s="2" t="s">
        <v>671</v>
      </c>
      <c r="D115" s="2" t="s">
        <v>741</v>
      </c>
      <c r="E115" s="2" t="s">
        <v>39</v>
      </c>
      <c r="F115" s="2" t="s">
        <v>76</v>
      </c>
      <c r="G115" s="2" t="s">
        <v>77</v>
      </c>
      <c r="H115" s="8" t="s">
        <v>41</v>
      </c>
      <c r="I115" s="2" t="s">
        <v>27</v>
      </c>
      <c r="J115" s="2" t="s">
        <v>742</v>
      </c>
      <c r="K115" s="2" t="s">
        <v>743</v>
      </c>
      <c r="L115" s="2" t="s">
        <v>744</v>
      </c>
      <c r="M115" s="2" t="s">
        <v>45</v>
      </c>
      <c r="N115" s="2" t="s">
        <v>32</v>
      </c>
      <c r="O115" s="2" t="s">
        <v>35</v>
      </c>
      <c r="P115" s="2" t="s">
        <v>34</v>
      </c>
      <c r="Q115" s="2" t="s">
        <v>35</v>
      </c>
      <c r="R115" s="2" t="s">
        <v>35</v>
      </c>
      <c r="S115" s="2" t="s">
        <v>35</v>
      </c>
      <c r="T115" s="2" t="s">
        <v>35</v>
      </c>
    </row>
    <row r="116" ht="57.6" hidden="1" spans="1:20">
      <c r="A116" s="2" t="s">
        <v>745</v>
      </c>
      <c r="B116" s="2" t="s">
        <v>670</v>
      </c>
      <c r="C116" s="2" t="s">
        <v>671</v>
      </c>
      <c r="D116" s="2" t="s">
        <v>746</v>
      </c>
      <c r="E116" s="2" t="s">
        <v>39</v>
      </c>
      <c r="F116" s="2" t="s">
        <v>76</v>
      </c>
      <c r="G116" s="2" t="s">
        <v>77</v>
      </c>
      <c r="H116" s="8" t="s">
        <v>41</v>
      </c>
      <c r="I116" s="2" t="s">
        <v>27</v>
      </c>
      <c r="J116" s="2" t="s">
        <v>747</v>
      </c>
      <c r="K116" s="2" t="s">
        <v>748</v>
      </c>
      <c r="L116" s="2" t="s">
        <v>749</v>
      </c>
      <c r="M116" s="2" t="s">
        <v>45</v>
      </c>
      <c r="N116" s="2" t="s">
        <v>32</v>
      </c>
      <c r="O116" s="2" t="s">
        <v>750</v>
      </c>
      <c r="P116" s="3" t="s">
        <v>702</v>
      </c>
      <c r="Q116" s="2" t="s">
        <v>35</v>
      </c>
      <c r="R116" s="2" t="s">
        <v>35</v>
      </c>
      <c r="S116" s="2" t="s">
        <v>35</v>
      </c>
      <c r="T116" s="2" t="s">
        <v>35</v>
      </c>
    </row>
    <row r="117" ht="57.6" hidden="1" spans="1:20">
      <c r="A117" s="2" t="s">
        <v>751</v>
      </c>
      <c r="B117" s="2" t="s">
        <v>670</v>
      </c>
      <c r="C117" s="2" t="s">
        <v>671</v>
      </c>
      <c r="D117" s="2" t="s">
        <v>752</v>
      </c>
      <c r="E117" s="2" t="s">
        <v>39</v>
      </c>
      <c r="F117" s="2" t="s">
        <v>76</v>
      </c>
      <c r="G117" s="2" t="s">
        <v>77</v>
      </c>
      <c r="H117" s="7" t="s">
        <v>26</v>
      </c>
      <c r="I117" s="2" t="s">
        <v>27</v>
      </c>
      <c r="J117" s="2" t="s">
        <v>753</v>
      </c>
      <c r="K117" s="2" t="s">
        <v>754</v>
      </c>
      <c r="L117" s="2" t="s">
        <v>755</v>
      </c>
      <c r="M117" s="2" t="s">
        <v>45</v>
      </c>
      <c r="N117" s="2" t="s">
        <v>32</v>
      </c>
      <c r="O117" s="2" t="s">
        <v>35</v>
      </c>
      <c r="P117" s="2" t="s">
        <v>34</v>
      </c>
      <c r="Q117" s="2" t="s">
        <v>35</v>
      </c>
      <c r="R117" s="2" t="s">
        <v>35</v>
      </c>
      <c r="S117" s="2" t="s">
        <v>35</v>
      </c>
      <c r="T117" s="2" t="s">
        <v>35</v>
      </c>
    </row>
    <row r="118" ht="57.6" hidden="1" spans="1:20">
      <c r="A118" s="2" t="s">
        <v>756</v>
      </c>
      <c r="B118" s="2" t="s">
        <v>670</v>
      </c>
      <c r="C118" s="2" t="s">
        <v>671</v>
      </c>
      <c r="D118" s="2" t="s">
        <v>757</v>
      </c>
      <c r="E118" s="2" t="s">
        <v>39</v>
      </c>
      <c r="F118" s="2" t="s">
        <v>76</v>
      </c>
      <c r="G118" s="2" t="s">
        <v>77</v>
      </c>
      <c r="H118" s="7" t="s">
        <v>26</v>
      </c>
      <c r="I118" s="2" t="s">
        <v>27</v>
      </c>
      <c r="J118" s="2" t="s">
        <v>758</v>
      </c>
      <c r="K118" s="2" t="s">
        <v>759</v>
      </c>
      <c r="L118" s="2" t="s">
        <v>760</v>
      </c>
      <c r="M118" s="2" t="s">
        <v>45</v>
      </c>
      <c r="N118" s="2" t="s">
        <v>32</v>
      </c>
      <c r="O118" s="2" t="s">
        <v>35</v>
      </c>
      <c r="P118" s="2" t="s">
        <v>34</v>
      </c>
      <c r="Q118" s="2" t="s">
        <v>35</v>
      </c>
      <c r="R118" s="2" t="s">
        <v>35</v>
      </c>
      <c r="S118" s="2" t="s">
        <v>35</v>
      </c>
      <c r="T118" s="2" t="s">
        <v>35</v>
      </c>
    </row>
    <row r="119" ht="72" hidden="1" spans="1:20">
      <c r="A119" s="2" t="s">
        <v>761</v>
      </c>
      <c r="B119" s="2" t="s">
        <v>670</v>
      </c>
      <c r="C119" s="2" t="s">
        <v>671</v>
      </c>
      <c r="D119" s="2" t="s">
        <v>762</v>
      </c>
      <c r="E119" s="2" t="s">
        <v>39</v>
      </c>
      <c r="F119" s="2" t="s">
        <v>76</v>
      </c>
      <c r="G119" s="2" t="s">
        <v>77</v>
      </c>
      <c r="H119" s="7" t="s">
        <v>26</v>
      </c>
      <c r="I119" s="2" t="s">
        <v>27</v>
      </c>
      <c r="J119" s="2" t="s">
        <v>763</v>
      </c>
      <c r="K119" s="2" t="s">
        <v>764</v>
      </c>
      <c r="L119" s="2" t="s">
        <v>765</v>
      </c>
      <c r="M119" s="2" t="s">
        <v>45</v>
      </c>
      <c r="N119" s="2" t="s">
        <v>32</v>
      </c>
      <c r="O119" s="2" t="s">
        <v>766</v>
      </c>
      <c r="P119" s="3" t="s">
        <v>702</v>
      </c>
      <c r="Q119" s="2" t="s">
        <v>35</v>
      </c>
      <c r="R119" s="2" t="s">
        <v>35</v>
      </c>
      <c r="S119" s="2" t="s">
        <v>35</v>
      </c>
      <c r="T119" s="2" t="s">
        <v>35</v>
      </c>
    </row>
    <row r="120" ht="57.6" hidden="1" spans="1:20">
      <c r="A120" s="2" t="s">
        <v>767</v>
      </c>
      <c r="B120" s="2" t="s">
        <v>670</v>
      </c>
      <c r="C120" s="2" t="s">
        <v>671</v>
      </c>
      <c r="D120" s="2" t="s">
        <v>768</v>
      </c>
      <c r="E120" s="2" t="s">
        <v>39</v>
      </c>
      <c r="F120" s="2" t="s">
        <v>76</v>
      </c>
      <c r="G120" s="2" t="s">
        <v>77</v>
      </c>
      <c r="H120" s="7" t="s">
        <v>26</v>
      </c>
      <c r="I120" s="2" t="s">
        <v>27</v>
      </c>
      <c r="J120" s="2" t="s">
        <v>769</v>
      </c>
      <c r="K120" s="2" t="s">
        <v>770</v>
      </c>
      <c r="L120" s="2" t="s">
        <v>771</v>
      </c>
      <c r="M120" s="2" t="s">
        <v>45</v>
      </c>
      <c r="N120" s="2" t="s">
        <v>32</v>
      </c>
      <c r="O120" s="2" t="s">
        <v>772</v>
      </c>
      <c r="P120" s="2" t="s">
        <v>34</v>
      </c>
      <c r="Q120" s="2" t="s">
        <v>35</v>
      </c>
      <c r="R120" s="2" t="s">
        <v>35</v>
      </c>
      <c r="S120" s="2" t="s">
        <v>35</v>
      </c>
      <c r="T120" s="2" t="s">
        <v>35</v>
      </c>
    </row>
    <row r="121" ht="57.6" hidden="1" spans="1:20">
      <c r="A121" s="2" t="s">
        <v>773</v>
      </c>
      <c r="B121" s="2" t="s">
        <v>670</v>
      </c>
      <c r="C121" s="2" t="s">
        <v>671</v>
      </c>
      <c r="D121" s="2" t="s">
        <v>774</v>
      </c>
      <c r="E121" s="2" t="s">
        <v>39</v>
      </c>
      <c r="F121" s="2" t="s">
        <v>76</v>
      </c>
      <c r="G121" s="2" t="s">
        <v>77</v>
      </c>
      <c r="H121" s="7" t="s">
        <v>26</v>
      </c>
      <c r="I121" s="2" t="s">
        <v>27</v>
      </c>
      <c r="J121" s="2" t="s">
        <v>775</v>
      </c>
      <c r="K121" s="2" t="s">
        <v>776</v>
      </c>
      <c r="L121" s="2" t="s">
        <v>777</v>
      </c>
      <c r="M121" s="2" t="s">
        <v>45</v>
      </c>
      <c r="N121" s="2" t="s">
        <v>32</v>
      </c>
      <c r="O121" s="2" t="s">
        <v>35</v>
      </c>
      <c r="P121" s="2" t="s">
        <v>34</v>
      </c>
      <c r="Q121" s="2" t="s">
        <v>35</v>
      </c>
      <c r="R121" s="2" t="s">
        <v>35</v>
      </c>
      <c r="S121" s="2" t="s">
        <v>35</v>
      </c>
      <c r="T121" s="2" t="s">
        <v>35</v>
      </c>
    </row>
    <row r="122" ht="72" hidden="1" spans="1:20">
      <c r="A122" s="2" t="s">
        <v>778</v>
      </c>
      <c r="B122" s="2" t="s">
        <v>670</v>
      </c>
      <c r="C122" s="2" t="s">
        <v>671</v>
      </c>
      <c r="D122" s="2" t="s">
        <v>779</v>
      </c>
      <c r="E122" s="2" t="s">
        <v>39</v>
      </c>
      <c r="F122" s="2" t="s">
        <v>76</v>
      </c>
      <c r="G122" s="2" t="s">
        <v>77</v>
      </c>
      <c r="H122" s="7" t="s">
        <v>26</v>
      </c>
      <c r="I122" s="2" t="s">
        <v>27</v>
      </c>
      <c r="J122" s="2" t="s">
        <v>780</v>
      </c>
      <c r="K122" s="2" t="s">
        <v>781</v>
      </c>
      <c r="L122" s="2" t="s">
        <v>782</v>
      </c>
      <c r="M122" s="2" t="s">
        <v>45</v>
      </c>
      <c r="N122" s="2" t="s">
        <v>32</v>
      </c>
      <c r="O122" s="2" t="s">
        <v>35</v>
      </c>
      <c r="P122" s="2" t="s">
        <v>34</v>
      </c>
      <c r="Q122" s="2" t="s">
        <v>35</v>
      </c>
      <c r="R122" s="2" t="s">
        <v>35</v>
      </c>
      <c r="S122" s="2" t="s">
        <v>35</v>
      </c>
      <c r="T122" s="2" t="s">
        <v>35</v>
      </c>
    </row>
    <row r="123" ht="57.6" hidden="1" spans="1:20">
      <c r="A123" s="2" t="s">
        <v>783</v>
      </c>
      <c r="B123" s="2" t="s">
        <v>670</v>
      </c>
      <c r="C123" s="2" t="s">
        <v>671</v>
      </c>
      <c r="D123" s="2" t="s">
        <v>784</v>
      </c>
      <c r="E123" s="2" t="s">
        <v>39</v>
      </c>
      <c r="F123" s="2" t="s">
        <v>76</v>
      </c>
      <c r="G123" s="2" t="s">
        <v>77</v>
      </c>
      <c r="H123" s="7" t="s">
        <v>26</v>
      </c>
      <c r="I123" s="2" t="s">
        <v>27</v>
      </c>
      <c r="J123" s="2" t="s">
        <v>785</v>
      </c>
      <c r="K123" s="2" t="s">
        <v>786</v>
      </c>
      <c r="L123" s="2" t="s">
        <v>787</v>
      </c>
      <c r="M123" s="2" t="s">
        <v>45</v>
      </c>
      <c r="N123" s="2" t="s">
        <v>32</v>
      </c>
      <c r="O123" s="2" t="s">
        <v>35</v>
      </c>
      <c r="P123" s="2" t="s">
        <v>34</v>
      </c>
      <c r="Q123" s="2" t="s">
        <v>35</v>
      </c>
      <c r="R123" s="2" t="s">
        <v>35</v>
      </c>
      <c r="S123" s="2" t="s">
        <v>35</v>
      </c>
      <c r="T123" s="2" t="s">
        <v>35</v>
      </c>
    </row>
    <row r="124" ht="72" hidden="1" spans="1:20">
      <c r="A124" s="2" t="s">
        <v>788</v>
      </c>
      <c r="B124" s="2" t="s">
        <v>670</v>
      </c>
      <c r="C124" s="2" t="s">
        <v>671</v>
      </c>
      <c r="D124" s="2" t="s">
        <v>789</v>
      </c>
      <c r="E124" s="2" t="s">
        <v>39</v>
      </c>
      <c r="F124" s="2" t="s">
        <v>76</v>
      </c>
      <c r="G124" s="2" t="s">
        <v>77</v>
      </c>
      <c r="H124" s="7" t="s">
        <v>26</v>
      </c>
      <c r="I124" s="2" t="s">
        <v>27</v>
      </c>
      <c r="J124" s="2" t="s">
        <v>790</v>
      </c>
      <c r="K124" s="2" t="s">
        <v>791</v>
      </c>
      <c r="L124" s="2" t="s">
        <v>792</v>
      </c>
      <c r="M124" s="2" t="s">
        <v>45</v>
      </c>
      <c r="N124" s="2" t="s">
        <v>32</v>
      </c>
      <c r="O124" s="2" t="s">
        <v>35</v>
      </c>
      <c r="P124" s="2" t="s">
        <v>34</v>
      </c>
      <c r="Q124" s="2" t="s">
        <v>35</v>
      </c>
      <c r="R124" s="2" t="s">
        <v>35</v>
      </c>
      <c r="S124" s="2" t="s">
        <v>35</v>
      </c>
      <c r="T124" s="2" t="s">
        <v>35</v>
      </c>
    </row>
    <row r="125" ht="57.6" hidden="1" spans="1:20">
      <c r="A125" s="2" t="s">
        <v>793</v>
      </c>
      <c r="B125" s="2" t="s">
        <v>670</v>
      </c>
      <c r="C125" s="2" t="s">
        <v>671</v>
      </c>
      <c r="D125" s="2" t="s">
        <v>794</v>
      </c>
      <c r="E125" s="2" t="s">
        <v>39</v>
      </c>
      <c r="F125" s="2" t="s">
        <v>76</v>
      </c>
      <c r="G125" s="2" t="s">
        <v>77</v>
      </c>
      <c r="H125" s="7" t="s">
        <v>26</v>
      </c>
      <c r="I125" s="2" t="s">
        <v>27</v>
      </c>
      <c r="J125" s="2" t="s">
        <v>795</v>
      </c>
      <c r="K125" s="2" t="s">
        <v>796</v>
      </c>
      <c r="L125" s="2" t="s">
        <v>797</v>
      </c>
      <c r="M125" s="2" t="s">
        <v>45</v>
      </c>
      <c r="N125" s="2" t="s">
        <v>32</v>
      </c>
      <c r="O125" s="2" t="s">
        <v>35</v>
      </c>
      <c r="P125" s="2" t="s">
        <v>34</v>
      </c>
      <c r="Q125" s="2" t="s">
        <v>35</v>
      </c>
      <c r="R125" s="2" t="s">
        <v>35</v>
      </c>
      <c r="S125" s="2" t="s">
        <v>35</v>
      </c>
      <c r="T125" s="2" t="s">
        <v>35</v>
      </c>
    </row>
    <row r="126" ht="57.6" hidden="1" spans="1:20">
      <c r="A126" s="2" t="s">
        <v>798</v>
      </c>
      <c r="B126" s="2" t="s">
        <v>670</v>
      </c>
      <c r="C126" s="2" t="s">
        <v>671</v>
      </c>
      <c r="D126" s="2" t="s">
        <v>799</v>
      </c>
      <c r="E126" s="2" t="s">
        <v>23</v>
      </c>
      <c r="F126" s="2" t="s">
        <v>76</v>
      </c>
      <c r="G126" s="2" t="s">
        <v>77</v>
      </c>
      <c r="H126" s="11" t="s">
        <v>592</v>
      </c>
      <c r="I126" s="2" t="s">
        <v>27</v>
      </c>
      <c r="J126" s="2" t="s">
        <v>800</v>
      </c>
      <c r="K126" s="2" t="s">
        <v>801</v>
      </c>
      <c r="L126" s="2" t="s">
        <v>802</v>
      </c>
      <c r="M126" s="2" t="s">
        <v>45</v>
      </c>
      <c r="N126" s="2" t="s">
        <v>32</v>
      </c>
      <c r="O126" s="2" t="s">
        <v>35</v>
      </c>
      <c r="P126" s="2" t="s">
        <v>34</v>
      </c>
      <c r="Q126" s="2" t="s">
        <v>35</v>
      </c>
      <c r="R126" s="2" t="s">
        <v>35</v>
      </c>
      <c r="S126" s="2" t="s">
        <v>35</v>
      </c>
      <c r="T126" s="2" t="s">
        <v>35</v>
      </c>
    </row>
    <row r="127" ht="57.6" hidden="1" spans="1:20">
      <c r="A127" s="2" t="s">
        <v>803</v>
      </c>
      <c r="B127" s="2" t="s">
        <v>670</v>
      </c>
      <c r="C127" s="2" t="s">
        <v>671</v>
      </c>
      <c r="D127" s="2" t="s">
        <v>804</v>
      </c>
      <c r="E127" s="2" t="s">
        <v>23</v>
      </c>
      <c r="F127" s="2" t="s">
        <v>76</v>
      </c>
      <c r="G127" s="2" t="s">
        <v>77</v>
      </c>
      <c r="H127" s="11" t="s">
        <v>592</v>
      </c>
      <c r="I127" s="2" t="s">
        <v>27</v>
      </c>
      <c r="J127" s="2" t="s">
        <v>805</v>
      </c>
      <c r="K127" s="2" t="s">
        <v>806</v>
      </c>
      <c r="L127" s="2" t="s">
        <v>807</v>
      </c>
      <c r="M127" s="2" t="s">
        <v>45</v>
      </c>
      <c r="N127" s="2" t="s">
        <v>32</v>
      </c>
      <c r="O127" s="2" t="s">
        <v>35</v>
      </c>
      <c r="P127" s="2" t="s">
        <v>34</v>
      </c>
      <c r="Q127" s="2" t="s">
        <v>35</v>
      </c>
      <c r="R127" s="2" t="s">
        <v>35</v>
      </c>
      <c r="S127" s="2" t="s">
        <v>35</v>
      </c>
      <c r="T127" s="2" t="s">
        <v>35</v>
      </c>
    </row>
    <row r="128" ht="57.6" hidden="1" spans="1:20">
      <c r="A128" s="2" t="s">
        <v>808</v>
      </c>
      <c r="B128" s="2" t="s">
        <v>670</v>
      </c>
      <c r="C128" s="2" t="s">
        <v>671</v>
      </c>
      <c r="D128" s="2" t="s">
        <v>809</v>
      </c>
      <c r="E128" s="2" t="s">
        <v>23</v>
      </c>
      <c r="F128" s="2" t="s">
        <v>76</v>
      </c>
      <c r="G128" s="2" t="s">
        <v>77</v>
      </c>
      <c r="H128" s="11" t="s">
        <v>592</v>
      </c>
      <c r="I128" s="2" t="s">
        <v>27</v>
      </c>
      <c r="J128" s="2" t="s">
        <v>810</v>
      </c>
      <c r="K128" s="2" t="s">
        <v>811</v>
      </c>
      <c r="L128" s="2" t="s">
        <v>812</v>
      </c>
      <c r="M128" s="2" t="s">
        <v>45</v>
      </c>
      <c r="N128" s="2" t="s">
        <v>32</v>
      </c>
      <c r="O128" s="2" t="s">
        <v>35</v>
      </c>
      <c r="P128" s="3" t="s">
        <v>813</v>
      </c>
      <c r="Q128" s="2" t="s">
        <v>35</v>
      </c>
      <c r="R128" s="2" t="s">
        <v>35</v>
      </c>
      <c r="S128" s="2" t="s">
        <v>35</v>
      </c>
      <c r="T128" s="2" t="s">
        <v>35</v>
      </c>
    </row>
    <row r="129" ht="57.6" hidden="1" spans="1:20">
      <c r="A129" s="2" t="s">
        <v>814</v>
      </c>
      <c r="B129" s="2" t="s">
        <v>670</v>
      </c>
      <c r="C129" s="2" t="s">
        <v>671</v>
      </c>
      <c r="D129" s="2" t="s">
        <v>815</v>
      </c>
      <c r="E129" s="2" t="s">
        <v>23</v>
      </c>
      <c r="F129" s="2" t="s">
        <v>76</v>
      </c>
      <c r="G129" s="2" t="s">
        <v>77</v>
      </c>
      <c r="H129" s="11" t="s">
        <v>592</v>
      </c>
      <c r="I129" s="2" t="s">
        <v>27</v>
      </c>
      <c r="J129" s="2" t="s">
        <v>816</v>
      </c>
      <c r="K129" s="2" t="s">
        <v>817</v>
      </c>
      <c r="L129" s="2" t="s">
        <v>818</v>
      </c>
      <c r="M129" s="2" t="s">
        <v>45</v>
      </c>
      <c r="N129" s="2" t="s">
        <v>32</v>
      </c>
      <c r="O129" s="2" t="s">
        <v>35</v>
      </c>
      <c r="P129" s="2" t="s">
        <v>34</v>
      </c>
      <c r="Q129" s="2" t="s">
        <v>35</v>
      </c>
      <c r="R129" s="2" t="s">
        <v>35</v>
      </c>
      <c r="S129" s="2" t="s">
        <v>35</v>
      </c>
      <c r="T129" s="2" t="s">
        <v>35</v>
      </c>
    </row>
    <row r="130" ht="86.4" hidden="1" spans="1:20">
      <c r="A130" s="2" t="s">
        <v>819</v>
      </c>
      <c r="B130" s="2" t="s">
        <v>670</v>
      </c>
      <c r="C130" s="2" t="s">
        <v>671</v>
      </c>
      <c r="D130" s="2" t="s">
        <v>820</v>
      </c>
      <c r="E130" s="2" t="s">
        <v>23</v>
      </c>
      <c r="F130" s="2" t="s">
        <v>24</v>
      </c>
      <c r="G130" s="2" t="s">
        <v>40</v>
      </c>
      <c r="H130" s="7" t="s">
        <v>26</v>
      </c>
      <c r="I130" s="2" t="s">
        <v>27</v>
      </c>
      <c r="J130" s="2" t="s">
        <v>150</v>
      </c>
      <c r="K130" s="2" t="s">
        <v>821</v>
      </c>
      <c r="L130" s="2" t="s">
        <v>822</v>
      </c>
      <c r="M130" s="2" t="s">
        <v>45</v>
      </c>
      <c r="N130" s="2" t="s">
        <v>32</v>
      </c>
      <c r="O130" s="2" t="s">
        <v>35</v>
      </c>
      <c r="P130" s="2" t="s">
        <v>34</v>
      </c>
      <c r="Q130" s="2" t="s">
        <v>35</v>
      </c>
      <c r="R130" s="2" t="s">
        <v>35</v>
      </c>
      <c r="S130" s="2" t="s">
        <v>35</v>
      </c>
      <c r="T130" s="2" t="s">
        <v>35</v>
      </c>
    </row>
    <row r="131" ht="57.6" hidden="1" spans="1:20">
      <c r="A131" s="2" t="s">
        <v>823</v>
      </c>
      <c r="B131" s="2" t="s">
        <v>670</v>
      </c>
      <c r="C131" s="2" t="s">
        <v>671</v>
      </c>
      <c r="D131" s="2" t="s">
        <v>824</v>
      </c>
      <c r="E131" s="2" t="s">
        <v>23</v>
      </c>
      <c r="F131" s="2" t="s">
        <v>76</v>
      </c>
      <c r="G131" s="2" t="s">
        <v>77</v>
      </c>
      <c r="H131" s="11" t="s">
        <v>592</v>
      </c>
      <c r="I131" s="2" t="s">
        <v>825</v>
      </c>
      <c r="J131" s="2" t="s">
        <v>826</v>
      </c>
      <c r="K131" s="2" t="s">
        <v>827</v>
      </c>
      <c r="L131" s="2" t="s">
        <v>828</v>
      </c>
      <c r="M131" s="2" t="s">
        <v>45</v>
      </c>
      <c r="N131" s="2" t="s">
        <v>32</v>
      </c>
      <c r="O131" s="2" t="s">
        <v>35</v>
      </c>
      <c r="P131" s="10" t="s">
        <v>180</v>
      </c>
      <c r="Q131" s="2" t="s">
        <v>35</v>
      </c>
      <c r="R131" s="2" t="s">
        <v>35</v>
      </c>
      <c r="S131" s="2" t="s">
        <v>35</v>
      </c>
      <c r="T131" s="2" t="s">
        <v>35</v>
      </c>
    </row>
    <row r="132" ht="57.6" hidden="1" spans="1:20">
      <c r="A132" s="2" t="s">
        <v>829</v>
      </c>
      <c r="B132" s="2" t="s">
        <v>670</v>
      </c>
      <c r="C132" s="2" t="s">
        <v>671</v>
      </c>
      <c r="D132" s="2" t="s">
        <v>830</v>
      </c>
      <c r="E132" s="2" t="s">
        <v>23</v>
      </c>
      <c r="F132" s="2" t="s">
        <v>76</v>
      </c>
      <c r="G132" s="2" t="s">
        <v>77</v>
      </c>
      <c r="H132" s="7" t="s">
        <v>26</v>
      </c>
      <c r="I132" s="2" t="s">
        <v>570</v>
      </c>
      <c r="J132" s="2" t="s">
        <v>571</v>
      </c>
      <c r="K132" s="2" t="s">
        <v>831</v>
      </c>
      <c r="L132" s="2" t="s">
        <v>832</v>
      </c>
      <c r="M132" s="2" t="s">
        <v>45</v>
      </c>
      <c r="N132" s="2" t="s">
        <v>32</v>
      </c>
      <c r="O132" s="2" t="s">
        <v>35</v>
      </c>
      <c r="P132" s="2" t="s">
        <v>34</v>
      </c>
      <c r="Q132" s="2" t="s">
        <v>35</v>
      </c>
      <c r="R132" s="2" t="s">
        <v>35</v>
      </c>
      <c r="S132" s="2" t="s">
        <v>35</v>
      </c>
      <c r="T132" s="2" t="s">
        <v>35</v>
      </c>
    </row>
    <row r="133" ht="72" hidden="1" spans="1:20">
      <c r="A133" s="2" t="s">
        <v>833</v>
      </c>
      <c r="B133" s="2" t="s">
        <v>670</v>
      </c>
      <c r="C133" s="2" t="s">
        <v>671</v>
      </c>
      <c r="D133" s="2" t="s">
        <v>834</v>
      </c>
      <c r="E133" s="2" t="s">
        <v>23</v>
      </c>
      <c r="F133" s="2" t="s">
        <v>76</v>
      </c>
      <c r="G133" s="2" t="s">
        <v>77</v>
      </c>
      <c r="H133" s="11" t="s">
        <v>592</v>
      </c>
      <c r="I133" s="2" t="s">
        <v>835</v>
      </c>
      <c r="J133" s="2" t="s">
        <v>826</v>
      </c>
      <c r="K133" s="2" t="s">
        <v>836</v>
      </c>
      <c r="L133" s="2" t="s">
        <v>837</v>
      </c>
      <c r="M133" s="2" t="s">
        <v>45</v>
      </c>
      <c r="N133" s="2" t="s">
        <v>32</v>
      </c>
      <c r="O133" s="2" t="s">
        <v>35</v>
      </c>
      <c r="P133" s="10" t="s">
        <v>180</v>
      </c>
      <c r="Q133" s="2" t="s">
        <v>35</v>
      </c>
      <c r="R133" s="2" t="s">
        <v>35</v>
      </c>
      <c r="S133" s="2" t="s">
        <v>35</v>
      </c>
      <c r="T133" s="2" t="s">
        <v>35</v>
      </c>
    </row>
    <row r="134" ht="57.6" hidden="1" spans="1:20">
      <c r="A134" s="2" t="s">
        <v>838</v>
      </c>
      <c r="B134" s="2" t="s">
        <v>670</v>
      </c>
      <c r="C134" s="2" t="s">
        <v>671</v>
      </c>
      <c r="D134" s="2" t="s">
        <v>839</v>
      </c>
      <c r="E134" s="2" t="s">
        <v>39</v>
      </c>
      <c r="F134" s="2" t="s">
        <v>139</v>
      </c>
      <c r="G134" s="2" t="s">
        <v>40</v>
      </c>
      <c r="H134" s="8" t="s">
        <v>41</v>
      </c>
      <c r="I134" s="2" t="s">
        <v>125</v>
      </c>
      <c r="J134" s="2" t="s">
        <v>840</v>
      </c>
      <c r="K134" s="2" t="s">
        <v>841</v>
      </c>
      <c r="L134" s="2" t="s">
        <v>842</v>
      </c>
      <c r="M134" s="2" t="s">
        <v>45</v>
      </c>
      <c r="N134" s="2" t="s">
        <v>32</v>
      </c>
      <c r="O134" s="2" t="s">
        <v>843</v>
      </c>
      <c r="P134" s="2" t="s">
        <v>34</v>
      </c>
      <c r="Q134" s="2" t="s">
        <v>35</v>
      </c>
      <c r="R134" s="2" t="s">
        <v>35</v>
      </c>
      <c r="S134" s="2" t="s">
        <v>35</v>
      </c>
      <c r="T134" s="2" t="s">
        <v>35</v>
      </c>
    </row>
    <row r="135" ht="57.6" hidden="1" spans="1:20">
      <c r="A135" s="2" t="s">
        <v>844</v>
      </c>
      <c r="B135" s="2" t="s">
        <v>670</v>
      </c>
      <c r="C135" s="2" t="s">
        <v>671</v>
      </c>
      <c r="D135" s="2" t="s">
        <v>845</v>
      </c>
      <c r="E135" s="2" t="s">
        <v>23</v>
      </c>
      <c r="F135" s="2" t="s">
        <v>24</v>
      </c>
      <c r="G135" s="2" t="s">
        <v>40</v>
      </c>
      <c r="H135" s="7" t="s">
        <v>26</v>
      </c>
      <c r="I135" s="2" t="s">
        <v>125</v>
      </c>
      <c r="J135" s="2" t="s">
        <v>846</v>
      </c>
      <c r="K135" s="2" t="s">
        <v>841</v>
      </c>
      <c r="L135" s="2" t="s">
        <v>847</v>
      </c>
      <c r="M135" s="2" t="s">
        <v>45</v>
      </c>
      <c r="N135" s="2" t="s">
        <v>32</v>
      </c>
      <c r="O135" s="2" t="s">
        <v>848</v>
      </c>
      <c r="P135" s="3" t="s">
        <v>849</v>
      </c>
      <c r="Q135" s="2" t="s">
        <v>35</v>
      </c>
      <c r="R135" s="2" t="s">
        <v>35</v>
      </c>
      <c r="S135" s="2" t="s">
        <v>35</v>
      </c>
      <c r="T135" s="2" t="s">
        <v>35</v>
      </c>
    </row>
    <row r="136" ht="57.6" hidden="1" spans="1:20">
      <c r="A136" s="2" t="s">
        <v>850</v>
      </c>
      <c r="B136" s="2" t="s">
        <v>670</v>
      </c>
      <c r="C136" s="2" t="s">
        <v>671</v>
      </c>
      <c r="D136" s="2" t="s">
        <v>851</v>
      </c>
      <c r="E136" s="2" t="s">
        <v>23</v>
      </c>
      <c r="F136" s="2" t="s">
        <v>24</v>
      </c>
      <c r="G136" s="2" t="s">
        <v>40</v>
      </c>
      <c r="H136" s="7" t="s">
        <v>26</v>
      </c>
      <c r="I136" s="2" t="s">
        <v>27</v>
      </c>
      <c r="J136" s="2" t="s">
        <v>852</v>
      </c>
      <c r="K136" s="2" t="s">
        <v>679</v>
      </c>
      <c r="L136" s="2" t="s">
        <v>853</v>
      </c>
      <c r="M136" s="2" t="s">
        <v>45</v>
      </c>
      <c r="N136" s="2" t="s">
        <v>32</v>
      </c>
      <c r="O136" s="2" t="s">
        <v>854</v>
      </c>
      <c r="P136" s="3" t="s">
        <v>849</v>
      </c>
      <c r="Q136" s="2" t="s">
        <v>35</v>
      </c>
      <c r="R136" s="2" t="s">
        <v>35</v>
      </c>
      <c r="S136" s="2" t="s">
        <v>35</v>
      </c>
      <c r="T136" s="2" t="s">
        <v>35</v>
      </c>
    </row>
    <row r="137" ht="57.6" hidden="1" spans="1:20">
      <c r="A137" s="2" t="s">
        <v>855</v>
      </c>
      <c r="B137" s="2" t="s">
        <v>670</v>
      </c>
      <c r="C137" s="2" t="s">
        <v>671</v>
      </c>
      <c r="D137" s="2" t="s">
        <v>856</v>
      </c>
      <c r="E137" s="2" t="s">
        <v>23</v>
      </c>
      <c r="F137" s="2" t="s">
        <v>24</v>
      </c>
      <c r="G137" s="2" t="s">
        <v>40</v>
      </c>
      <c r="H137" s="11" t="s">
        <v>592</v>
      </c>
      <c r="I137" s="2" t="s">
        <v>857</v>
      </c>
      <c r="J137" s="2" t="s">
        <v>826</v>
      </c>
      <c r="K137" s="2" t="s">
        <v>827</v>
      </c>
      <c r="L137" s="2" t="s">
        <v>858</v>
      </c>
      <c r="M137" s="2" t="s">
        <v>45</v>
      </c>
      <c r="N137" s="2" t="s">
        <v>32</v>
      </c>
      <c r="O137" s="2" t="s">
        <v>35</v>
      </c>
      <c r="P137" s="10" t="s">
        <v>180</v>
      </c>
      <c r="Q137" s="2" t="s">
        <v>35</v>
      </c>
      <c r="R137" s="2" t="s">
        <v>35</v>
      </c>
      <c r="S137" s="2" t="s">
        <v>35</v>
      </c>
      <c r="T137" s="2" t="s">
        <v>35</v>
      </c>
    </row>
    <row r="138" ht="72" hidden="1" spans="1:20">
      <c r="A138" s="2" t="s">
        <v>859</v>
      </c>
      <c r="B138" s="2" t="s">
        <v>670</v>
      </c>
      <c r="C138" s="2" t="s">
        <v>671</v>
      </c>
      <c r="D138" s="2" t="s">
        <v>860</v>
      </c>
      <c r="E138" s="2" t="s">
        <v>23</v>
      </c>
      <c r="F138" s="2" t="s">
        <v>139</v>
      </c>
      <c r="G138" s="2" t="s">
        <v>140</v>
      </c>
      <c r="H138" s="7" t="s">
        <v>26</v>
      </c>
      <c r="I138" s="2" t="s">
        <v>861</v>
      </c>
      <c r="J138" s="2" t="s">
        <v>862</v>
      </c>
      <c r="K138" s="2" t="s">
        <v>863</v>
      </c>
      <c r="L138" s="2" t="s">
        <v>864</v>
      </c>
      <c r="M138" s="2" t="s">
        <v>45</v>
      </c>
      <c r="N138" s="2" t="s">
        <v>32</v>
      </c>
      <c r="O138" s="2" t="s">
        <v>35</v>
      </c>
      <c r="P138" s="2" t="s">
        <v>34</v>
      </c>
      <c r="Q138" s="2" t="s">
        <v>35</v>
      </c>
      <c r="R138" s="2" t="s">
        <v>35</v>
      </c>
      <c r="S138" s="2" t="s">
        <v>35</v>
      </c>
      <c r="T138" s="2" t="s">
        <v>35</v>
      </c>
    </row>
    <row r="139" ht="72" hidden="1" spans="1:20">
      <c r="A139" s="2" t="s">
        <v>865</v>
      </c>
      <c r="B139" s="2" t="s">
        <v>670</v>
      </c>
      <c r="C139" s="2" t="s">
        <v>671</v>
      </c>
      <c r="D139" s="2" t="s">
        <v>866</v>
      </c>
      <c r="E139" s="2" t="s">
        <v>23</v>
      </c>
      <c r="F139" s="2" t="s">
        <v>139</v>
      </c>
      <c r="G139" s="2" t="s">
        <v>140</v>
      </c>
      <c r="H139" s="7" t="s">
        <v>26</v>
      </c>
      <c r="I139" s="2" t="s">
        <v>867</v>
      </c>
      <c r="J139" s="2" t="s">
        <v>868</v>
      </c>
      <c r="K139" s="2" t="s">
        <v>869</v>
      </c>
      <c r="L139" s="2" t="s">
        <v>870</v>
      </c>
      <c r="M139" s="2" t="s">
        <v>45</v>
      </c>
      <c r="N139" s="2" t="s">
        <v>32</v>
      </c>
      <c r="O139" s="2" t="s">
        <v>35</v>
      </c>
      <c r="P139" s="2" t="s">
        <v>34</v>
      </c>
      <c r="Q139" s="2" t="s">
        <v>35</v>
      </c>
      <c r="R139" s="2" t="s">
        <v>35</v>
      </c>
      <c r="S139" s="2" t="s">
        <v>35</v>
      </c>
      <c r="T139" s="2" t="s">
        <v>35</v>
      </c>
    </row>
    <row r="140" ht="72" hidden="1" spans="1:20">
      <c r="A140" s="2" t="s">
        <v>871</v>
      </c>
      <c r="B140" s="2" t="s">
        <v>670</v>
      </c>
      <c r="C140" s="2" t="s">
        <v>671</v>
      </c>
      <c r="D140" s="2" t="s">
        <v>872</v>
      </c>
      <c r="E140" s="2" t="s">
        <v>23</v>
      </c>
      <c r="F140" s="2" t="s">
        <v>139</v>
      </c>
      <c r="G140" s="2" t="s">
        <v>140</v>
      </c>
      <c r="H140" s="7" t="s">
        <v>26</v>
      </c>
      <c r="I140" s="2" t="s">
        <v>873</v>
      </c>
      <c r="J140" s="2" t="s">
        <v>874</v>
      </c>
      <c r="K140" s="2" t="s">
        <v>875</v>
      </c>
      <c r="L140" s="2" t="s">
        <v>876</v>
      </c>
      <c r="M140" s="2" t="s">
        <v>45</v>
      </c>
      <c r="N140" s="2" t="s">
        <v>32</v>
      </c>
      <c r="O140" s="2" t="s">
        <v>35</v>
      </c>
      <c r="P140" s="2" t="s">
        <v>34</v>
      </c>
      <c r="Q140" s="2" t="s">
        <v>35</v>
      </c>
      <c r="R140" s="2" t="s">
        <v>35</v>
      </c>
      <c r="S140" s="2" t="s">
        <v>35</v>
      </c>
      <c r="T140" s="2" t="s">
        <v>35</v>
      </c>
    </row>
    <row r="141" ht="86.4" hidden="1" spans="1:20">
      <c r="A141" s="2" t="s">
        <v>877</v>
      </c>
      <c r="B141" s="2" t="s">
        <v>670</v>
      </c>
      <c r="C141" s="2" t="s">
        <v>671</v>
      </c>
      <c r="D141" s="2" t="s">
        <v>878</v>
      </c>
      <c r="E141" s="2" t="s">
        <v>23</v>
      </c>
      <c r="F141" s="2" t="s">
        <v>24</v>
      </c>
      <c r="G141" s="2" t="s">
        <v>25</v>
      </c>
      <c r="H141" s="7" t="s">
        <v>26</v>
      </c>
      <c r="I141" s="2" t="s">
        <v>27</v>
      </c>
      <c r="J141" s="2" t="s">
        <v>150</v>
      </c>
      <c r="K141" s="2" t="s">
        <v>879</v>
      </c>
      <c r="L141" s="2" t="s">
        <v>880</v>
      </c>
      <c r="M141" s="2" t="s">
        <v>45</v>
      </c>
      <c r="N141" s="2" t="s">
        <v>32</v>
      </c>
      <c r="O141" s="2" t="s">
        <v>35</v>
      </c>
      <c r="P141" s="2" t="s">
        <v>34</v>
      </c>
      <c r="Q141" s="2" t="s">
        <v>35</v>
      </c>
      <c r="R141" s="2" t="s">
        <v>35</v>
      </c>
      <c r="S141" s="2" t="s">
        <v>35</v>
      </c>
      <c r="T141" s="2" t="s">
        <v>35</v>
      </c>
    </row>
    <row r="142" ht="57.6" hidden="1" spans="1:20">
      <c r="A142" s="2" t="s">
        <v>881</v>
      </c>
      <c r="B142" s="2" t="s">
        <v>670</v>
      </c>
      <c r="C142" s="2" t="s">
        <v>671</v>
      </c>
      <c r="D142" s="2" t="s">
        <v>882</v>
      </c>
      <c r="E142" s="2" t="s">
        <v>23</v>
      </c>
      <c r="F142" s="2" t="s">
        <v>24</v>
      </c>
      <c r="G142" s="2" t="s">
        <v>25</v>
      </c>
      <c r="H142" s="7" t="s">
        <v>26</v>
      </c>
      <c r="I142" s="2" t="s">
        <v>883</v>
      </c>
      <c r="J142" s="2" t="s">
        <v>884</v>
      </c>
      <c r="K142" s="2" t="s">
        <v>885</v>
      </c>
      <c r="L142" s="2" t="s">
        <v>886</v>
      </c>
      <c r="M142" s="2" t="s">
        <v>45</v>
      </c>
      <c r="N142" s="2" t="s">
        <v>32</v>
      </c>
      <c r="O142" s="2" t="s">
        <v>35</v>
      </c>
      <c r="P142" s="2" t="s">
        <v>34</v>
      </c>
      <c r="Q142" s="2" t="s">
        <v>35</v>
      </c>
      <c r="R142" s="2" t="s">
        <v>35</v>
      </c>
      <c r="S142" s="2" t="s">
        <v>35</v>
      </c>
      <c r="T142" s="2" t="s">
        <v>35</v>
      </c>
    </row>
    <row r="143" ht="86.4" hidden="1" spans="1:20">
      <c r="A143" s="2" t="s">
        <v>887</v>
      </c>
      <c r="B143" s="2" t="s">
        <v>670</v>
      </c>
      <c r="C143" s="2" t="s">
        <v>671</v>
      </c>
      <c r="D143" s="2" t="s">
        <v>888</v>
      </c>
      <c r="E143" s="2" t="s">
        <v>23</v>
      </c>
      <c r="F143" s="2" t="s">
        <v>24</v>
      </c>
      <c r="G143" s="2" t="s">
        <v>25</v>
      </c>
      <c r="H143" s="11" t="s">
        <v>592</v>
      </c>
      <c r="I143" s="2" t="s">
        <v>889</v>
      </c>
      <c r="J143" s="2" t="s">
        <v>890</v>
      </c>
      <c r="K143" s="2" t="s">
        <v>891</v>
      </c>
      <c r="L143" s="2" t="s">
        <v>892</v>
      </c>
      <c r="M143" s="2" t="s">
        <v>45</v>
      </c>
      <c r="N143" s="2" t="s">
        <v>32</v>
      </c>
      <c r="O143" s="2" t="s">
        <v>35</v>
      </c>
      <c r="P143" s="2" t="s">
        <v>34</v>
      </c>
      <c r="Q143" s="2" t="s">
        <v>35</v>
      </c>
      <c r="R143" s="2" t="s">
        <v>35</v>
      </c>
      <c r="S143" s="2" t="s">
        <v>35</v>
      </c>
      <c r="T143" s="2" t="s">
        <v>35</v>
      </c>
    </row>
    <row r="144" ht="57.6" hidden="1" spans="1:20">
      <c r="A144" s="2" t="s">
        <v>893</v>
      </c>
      <c r="B144" s="2" t="s">
        <v>670</v>
      </c>
      <c r="C144" s="2" t="s">
        <v>671</v>
      </c>
      <c r="D144" s="2" t="s">
        <v>894</v>
      </c>
      <c r="E144" s="2" t="s">
        <v>23</v>
      </c>
      <c r="F144" s="2" t="s">
        <v>139</v>
      </c>
      <c r="G144" s="2" t="s">
        <v>105</v>
      </c>
      <c r="H144" s="11" t="s">
        <v>592</v>
      </c>
      <c r="I144" s="2" t="s">
        <v>895</v>
      </c>
      <c r="J144" s="2" t="s">
        <v>896</v>
      </c>
      <c r="K144" s="2" t="s">
        <v>897</v>
      </c>
      <c r="L144" s="2" t="s">
        <v>898</v>
      </c>
      <c r="M144" s="2" t="s">
        <v>45</v>
      </c>
      <c r="N144" s="2" t="s">
        <v>32</v>
      </c>
      <c r="O144" s="2" t="s">
        <v>35</v>
      </c>
      <c r="P144" s="2" t="s">
        <v>34</v>
      </c>
      <c r="Q144" s="2" t="s">
        <v>35</v>
      </c>
      <c r="R144" s="2" t="s">
        <v>35</v>
      </c>
      <c r="S144" s="2" t="s">
        <v>35</v>
      </c>
      <c r="T144" s="2" t="s">
        <v>35</v>
      </c>
    </row>
    <row r="145" ht="72" hidden="1" spans="1:20">
      <c r="A145" s="2" t="s">
        <v>899</v>
      </c>
      <c r="B145" s="2" t="s">
        <v>670</v>
      </c>
      <c r="C145" s="2" t="s">
        <v>671</v>
      </c>
      <c r="D145" s="2" t="s">
        <v>900</v>
      </c>
      <c r="E145" s="2" t="s">
        <v>39</v>
      </c>
      <c r="F145" s="2" t="s">
        <v>24</v>
      </c>
      <c r="G145" s="2" t="s">
        <v>25</v>
      </c>
      <c r="H145" s="8" t="s">
        <v>41</v>
      </c>
      <c r="I145" s="2" t="s">
        <v>125</v>
      </c>
      <c r="J145" s="2" t="s">
        <v>840</v>
      </c>
      <c r="K145" s="2" t="s">
        <v>901</v>
      </c>
      <c r="L145" s="2" t="s">
        <v>902</v>
      </c>
      <c r="M145" s="2" t="s">
        <v>45</v>
      </c>
      <c r="N145" s="2" t="s">
        <v>32</v>
      </c>
      <c r="O145" s="2" t="s">
        <v>35</v>
      </c>
      <c r="P145" s="2" t="s">
        <v>34</v>
      </c>
      <c r="Q145" s="2" t="s">
        <v>35</v>
      </c>
      <c r="R145" s="2" t="s">
        <v>35</v>
      </c>
      <c r="S145" s="2" t="s">
        <v>35</v>
      </c>
      <c r="T145" s="2" t="s">
        <v>35</v>
      </c>
    </row>
    <row r="146" ht="72" hidden="1" spans="1:20">
      <c r="A146" s="2" t="s">
        <v>903</v>
      </c>
      <c r="B146" s="2" t="s">
        <v>670</v>
      </c>
      <c r="C146" s="2" t="s">
        <v>671</v>
      </c>
      <c r="D146" s="2" t="s">
        <v>904</v>
      </c>
      <c r="E146" s="2" t="s">
        <v>39</v>
      </c>
      <c r="F146" s="2" t="s">
        <v>24</v>
      </c>
      <c r="G146" s="2" t="s">
        <v>25</v>
      </c>
      <c r="H146" s="7" t="s">
        <v>26</v>
      </c>
      <c r="I146" s="2" t="s">
        <v>27</v>
      </c>
      <c r="J146" s="2" t="s">
        <v>905</v>
      </c>
      <c r="K146" s="2" t="s">
        <v>906</v>
      </c>
      <c r="L146" s="2" t="s">
        <v>907</v>
      </c>
      <c r="M146" s="2" t="s">
        <v>45</v>
      </c>
      <c r="N146" s="2" t="s">
        <v>32</v>
      </c>
      <c r="O146" s="2" t="s">
        <v>35</v>
      </c>
      <c r="P146" s="2" t="s">
        <v>34</v>
      </c>
      <c r="Q146" s="2" t="s">
        <v>35</v>
      </c>
      <c r="R146" s="2" t="s">
        <v>35</v>
      </c>
      <c r="S146" s="2" t="s">
        <v>35</v>
      </c>
      <c r="T146" s="2" t="s">
        <v>35</v>
      </c>
    </row>
    <row r="147" ht="57.6" hidden="1" spans="1:20">
      <c r="A147" s="2" t="s">
        <v>908</v>
      </c>
      <c r="B147" s="2" t="s">
        <v>670</v>
      </c>
      <c r="C147" s="2" t="s">
        <v>671</v>
      </c>
      <c r="D147" s="2" t="s">
        <v>909</v>
      </c>
      <c r="E147" s="2" t="s">
        <v>39</v>
      </c>
      <c r="F147" s="2" t="s">
        <v>24</v>
      </c>
      <c r="G147" s="2" t="s">
        <v>25</v>
      </c>
      <c r="H147" s="7" t="s">
        <v>26</v>
      </c>
      <c r="I147" s="2" t="s">
        <v>673</v>
      </c>
      <c r="J147" s="2" t="s">
        <v>232</v>
      </c>
      <c r="K147" s="2" t="s">
        <v>910</v>
      </c>
      <c r="L147" s="2" t="s">
        <v>911</v>
      </c>
      <c r="M147" s="2" t="s">
        <v>45</v>
      </c>
      <c r="N147" s="2" t="s">
        <v>32</v>
      </c>
      <c r="O147" s="2" t="s">
        <v>912</v>
      </c>
      <c r="P147" s="2" t="s">
        <v>34</v>
      </c>
      <c r="Q147" s="2" t="s">
        <v>35</v>
      </c>
      <c r="R147" s="2" t="s">
        <v>35</v>
      </c>
      <c r="S147" s="2" t="s">
        <v>35</v>
      </c>
      <c r="T147" s="2" t="s">
        <v>35</v>
      </c>
    </row>
    <row r="148" ht="43.2" hidden="1" spans="1:20">
      <c r="A148" s="2" t="s">
        <v>913</v>
      </c>
      <c r="B148" s="2" t="s">
        <v>670</v>
      </c>
      <c r="C148" s="2" t="s">
        <v>671</v>
      </c>
      <c r="D148" s="2" t="s">
        <v>914</v>
      </c>
      <c r="E148" s="2" t="s">
        <v>23</v>
      </c>
      <c r="F148" s="2" t="s">
        <v>24</v>
      </c>
      <c r="G148" s="2" t="s">
        <v>25</v>
      </c>
      <c r="H148" s="11" t="s">
        <v>592</v>
      </c>
      <c r="I148" s="2" t="s">
        <v>27</v>
      </c>
      <c r="J148" s="2" t="s">
        <v>107</v>
      </c>
      <c r="K148" s="2" t="s">
        <v>915</v>
      </c>
      <c r="L148" s="2" t="s">
        <v>916</v>
      </c>
      <c r="M148" s="2" t="s">
        <v>45</v>
      </c>
      <c r="N148" s="2" t="s">
        <v>32</v>
      </c>
      <c r="O148" s="2" t="s">
        <v>35</v>
      </c>
      <c r="P148" s="2" t="s">
        <v>34</v>
      </c>
      <c r="Q148" s="2" t="s">
        <v>35</v>
      </c>
      <c r="R148" s="2" t="s">
        <v>35</v>
      </c>
      <c r="S148" s="2" t="s">
        <v>35</v>
      </c>
      <c r="T148" s="2" t="s">
        <v>35</v>
      </c>
    </row>
    <row r="149" ht="86.4" hidden="1" spans="1:20">
      <c r="A149" s="2" t="s">
        <v>917</v>
      </c>
      <c r="B149" s="2" t="s">
        <v>670</v>
      </c>
      <c r="C149" s="2" t="s">
        <v>671</v>
      </c>
      <c r="D149" s="2" t="s">
        <v>918</v>
      </c>
      <c r="E149" s="2" t="s">
        <v>39</v>
      </c>
      <c r="F149" s="2" t="s">
        <v>24</v>
      </c>
      <c r="G149" s="2" t="s">
        <v>40</v>
      </c>
      <c r="H149" s="9" t="s">
        <v>66</v>
      </c>
      <c r="I149" s="2" t="s">
        <v>27</v>
      </c>
      <c r="J149" s="2" t="s">
        <v>905</v>
      </c>
      <c r="K149" s="2" t="s">
        <v>919</v>
      </c>
      <c r="L149" s="2" t="s">
        <v>920</v>
      </c>
      <c r="M149" s="2" t="s">
        <v>45</v>
      </c>
      <c r="N149" s="2" t="s">
        <v>32</v>
      </c>
      <c r="O149" s="2" t="s">
        <v>921</v>
      </c>
      <c r="P149" s="2" t="s">
        <v>34</v>
      </c>
      <c r="Q149" s="2" t="s">
        <v>35</v>
      </c>
      <c r="R149" s="2" t="s">
        <v>35</v>
      </c>
      <c r="S149" s="2" t="s">
        <v>35</v>
      </c>
      <c r="T149" s="2" t="s">
        <v>35</v>
      </c>
    </row>
    <row r="150" ht="72" hidden="1" spans="1:20">
      <c r="A150" s="2" t="s">
        <v>922</v>
      </c>
      <c r="B150" s="2" t="s">
        <v>670</v>
      </c>
      <c r="C150" s="2" t="s">
        <v>671</v>
      </c>
      <c r="D150" s="2" t="s">
        <v>923</v>
      </c>
      <c r="E150" s="2" t="s">
        <v>39</v>
      </c>
      <c r="F150" s="2" t="s">
        <v>139</v>
      </c>
      <c r="G150" s="2" t="s">
        <v>40</v>
      </c>
      <c r="H150" s="9" t="s">
        <v>66</v>
      </c>
      <c r="I150" s="2" t="s">
        <v>125</v>
      </c>
      <c r="J150" s="2" t="s">
        <v>924</v>
      </c>
      <c r="K150" s="2" t="s">
        <v>925</v>
      </c>
      <c r="L150" s="2" t="s">
        <v>926</v>
      </c>
      <c r="M150" s="2" t="s">
        <v>45</v>
      </c>
      <c r="N150" s="2" t="s">
        <v>32</v>
      </c>
      <c r="O150" s="2" t="s">
        <v>927</v>
      </c>
      <c r="P150" s="2" t="s">
        <v>34</v>
      </c>
      <c r="Q150" s="2" t="s">
        <v>35</v>
      </c>
      <c r="R150" s="2" t="s">
        <v>35</v>
      </c>
      <c r="S150" s="2" t="s">
        <v>35</v>
      </c>
      <c r="T150" s="2" t="s">
        <v>35</v>
      </c>
    </row>
    <row r="151" ht="86.4" hidden="1" spans="1:20">
      <c r="A151" s="2" t="s">
        <v>928</v>
      </c>
      <c r="B151" s="2" t="s">
        <v>670</v>
      </c>
      <c r="C151" s="2" t="s">
        <v>929</v>
      </c>
      <c r="D151" s="2" t="s">
        <v>930</v>
      </c>
      <c r="E151" s="2" t="s">
        <v>39</v>
      </c>
      <c r="F151" s="2" t="s">
        <v>24</v>
      </c>
      <c r="G151" s="2" t="s">
        <v>40</v>
      </c>
      <c r="H151" s="8" t="s">
        <v>41</v>
      </c>
      <c r="I151" s="2" t="s">
        <v>125</v>
      </c>
      <c r="J151" s="2" t="s">
        <v>931</v>
      </c>
      <c r="K151" s="2" t="s">
        <v>932</v>
      </c>
      <c r="L151" s="2" t="s">
        <v>933</v>
      </c>
      <c r="M151" s="2" t="s">
        <v>45</v>
      </c>
      <c r="N151" s="2" t="s">
        <v>32</v>
      </c>
      <c r="O151" s="2" t="s">
        <v>35</v>
      </c>
      <c r="P151" s="2" t="s">
        <v>34</v>
      </c>
      <c r="Q151" s="2" t="s">
        <v>35</v>
      </c>
      <c r="R151" s="2" t="s">
        <v>35</v>
      </c>
      <c r="S151" s="2" t="s">
        <v>35</v>
      </c>
      <c r="T151" s="2" t="s">
        <v>35</v>
      </c>
    </row>
    <row r="152" ht="72" hidden="1" spans="1:20">
      <c r="A152" s="2" t="s">
        <v>934</v>
      </c>
      <c r="B152" s="2" t="s">
        <v>670</v>
      </c>
      <c r="C152" s="2" t="s">
        <v>671</v>
      </c>
      <c r="D152" s="2" t="s">
        <v>935</v>
      </c>
      <c r="E152" s="2" t="s">
        <v>39</v>
      </c>
      <c r="F152" s="2" t="s">
        <v>76</v>
      </c>
      <c r="G152" s="2" t="s">
        <v>77</v>
      </c>
      <c r="H152" s="7" t="s">
        <v>26</v>
      </c>
      <c r="I152" s="2" t="s">
        <v>27</v>
      </c>
      <c r="J152" s="2" t="s">
        <v>936</v>
      </c>
      <c r="K152" s="2" t="s">
        <v>937</v>
      </c>
      <c r="L152" s="2" t="s">
        <v>938</v>
      </c>
      <c r="M152" s="2" t="s">
        <v>45</v>
      </c>
      <c r="N152" s="2" t="s">
        <v>32</v>
      </c>
      <c r="O152" s="2" t="s">
        <v>939</v>
      </c>
      <c r="P152" s="3" t="s">
        <v>940</v>
      </c>
      <c r="Q152" s="2" t="s">
        <v>35</v>
      </c>
      <c r="R152" s="2" t="s">
        <v>35</v>
      </c>
      <c r="S152" s="2" t="s">
        <v>35</v>
      </c>
      <c r="T152" s="2" t="s">
        <v>35</v>
      </c>
    </row>
    <row r="153" ht="72" hidden="1" spans="1:20">
      <c r="A153" s="2" t="s">
        <v>941</v>
      </c>
      <c r="B153" s="2" t="s">
        <v>670</v>
      </c>
      <c r="C153" s="2" t="s">
        <v>671</v>
      </c>
      <c r="D153" s="2" t="s">
        <v>942</v>
      </c>
      <c r="E153" s="2" t="s">
        <v>39</v>
      </c>
      <c r="F153" s="2" t="s">
        <v>139</v>
      </c>
      <c r="G153" s="2" t="s">
        <v>140</v>
      </c>
      <c r="H153" s="8" t="s">
        <v>41</v>
      </c>
      <c r="I153" s="2" t="s">
        <v>943</v>
      </c>
      <c r="J153" s="2" t="s">
        <v>944</v>
      </c>
      <c r="K153" s="2" t="s">
        <v>945</v>
      </c>
      <c r="L153" s="2" t="s">
        <v>946</v>
      </c>
      <c r="M153" s="2" t="s">
        <v>45</v>
      </c>
      <c r="N153" s="2" t="s">
        <v>32</v>
      </c>
      <c r="O153" s="2" t="s">
        <v>947</v>
      </c>
      <c r="P153" s="3" t="s">
        <v>694</v>
      </c>
      <c r="Q153" s="2" t="s">
        <v>35</v>
      </c>
      <c r="R153" s="2" t="s">
        <v>35</v>
      </c>
      <c r="S153" s="2" t="s">
        <v>35</v>
      </c>
      <c r="T153" s="2" t="s">
        <v>35</v>
      </c>
    </row>
    <row r="154" ht="43.2" hidden="1" spans="1:20">
      <c r="A154" s="2" t="s">
        <v>948</v>
      </c>
      <c r="B154" s="2" t="s">
        <v>949</v>
      </c>
      <c r="C154" s="2" t="s">
        <v>950</v>
      </c>
      <c r="D154" s="2" t="s">
        <v>951</v>
      </c>
      <c r="E154" s="2" t="s">
        <v>39</v>
      </c>
      <c r="F154" s="2" t="s">
        <v>24</v>
      </c>
      <c r="G154" s="2" t="s">
        <v>40</v>
      </c>
      <c r="H154" s="8" t="s">
        <v>41</v>
      </c>
      <c r="I154" s="2" t="s">
        <v>27</v>
      </c>
      <c r="J154" s="2" t="s">
        <v>28</v>
      </c>
      <c r="K154" s="2" t="s">
        <v>952</v>
      </c>
      <c r="L154" s="2" t="s">
        <v>953</v>
      </c>
      <c r="M154" s="2" t="s">
        <v>45</v>
      </c>
      <c r="N154" s="2" t="s">
        <v>32</v>
      </c>
      <c r="O154" s="2" t="s">
        <v>954</v>
      </c>
      <c r="P154" s="2" t="s">
        <v>34</v>
      </c>
      <c r="Q154" s="2" t="s">
        <v>35</v>
      </c>
      <c r="R154" s="2" t="s">
        <v>35</v>
      </c>
      <c r="S154" s="2" t="s">
        <v>35</v>
      </c>
      <c r="T154" s="2" t="s">
        <v>35</v>
      </c>
    </row>
    <row r="155" ht="57.6" hidden="1" spans="1:20">
      <c r="A155" s="2" t="s">
        <v>955</v>
      </c>
      <c r="B155" s="2" t="s">
        <v>949</v>
      </c>
      <c r="C155" s="2" t="s">
        <v>950</v>
      </c>
      <c r="D155" s="2" t="s">
        <v>956</v>
      </c>
      <c r="E155" s="2" t="s">
        <v>115</v>
      </c>
      <c r="F155" s="2" t="s">
        <v>163</v>
      </c>
      <c r="G155" s="2" t="s">
        <v>116</v>
      </c>
      <c r="H155" s="9" t="s">
        <v>66</v>
      </c>
      <c r="I155" s="2" t="s">
        <v>957</v>
      </c>
      <c r="J155" s="2" t="s">
        <v>958</v>
      </c>
      <c r="K155" s="2" t="s">
        <v>959</v>
      </c>
      <c r="L155" s="2" t="s">
        <v>960</v>
      </c>
      <c r="M155" s="2" t="s">
        <v>45</v>
      </c>
      <c r="N155" s="2" t="s">
        <v>32</v>
      </c>
      <c r="O155" s="2" t="s">
        <v>961</v>
      </c>
      <c r="P155" s="2" t="s">
        <v>34</v>
      </c>
      <c r="Q155" s="2" t="s">
        <v>35</v>
      </c>
      <c r="R155" s="2" t="s">
        <v>35</v>
      </c>
      <c r="S155" s="2" t="s">
        <v>35</v>
      </c>
      <c r="T155" s="2" t="s">
        <v>35</v>
      </c>
    </row>
    <row r="156" ht="57.6" hidden="1" spans="1:20">
      <c r="A156" s="2" t="s">
        <v>962</v>
      </c>
      <c r="B156" s="2" t="s">
        <v>949</v>
      </c>
      <c r="C156" s="2" t="s">
        <v>950</v>
      </c>
      <c r="D156" s="2" t="s">
        <v>963</v>
      </c>
      <c r="E156" s="2" t="s">
        <v>39</v>
      </c>
      <c r="F156" s="2" t="s">
        <v>24</v>
      </c>
      <c r="G156" s="2" t="s">
        <v>40</v>
      </c>
      <c r="H156" s="8" t="s">
        <v>41</v>
      </c>
      <c r="I156" s="2" t="s">
        <v>27</v>
      </c>
      <c r="J156" s="2" t="s">
        <v>964</v>
      </c>
      <c r="K156" s="2" t="s">
        <v>965</v>
      </c>
      <c r="L156" s="2" t="s">
        <v>966</v>
      </c>
      <c r="M156" s="2" t="s">
        <v>45</v>
      </c>
      <c r="N156" s="2" t="s">
        <v>32</v>
      </c>
      <c r="O156" s="2" t="s">
        <v>967</v>
      </c>
      <c r="P156" s="3" t="s">
        <v>968</v>
      </c>
      <c r="Q156" s="2" t="s">
        <v>35</v>
      </c>
      <c r="R156" s="2" t="s">
        <v>35</v>
      </c>
      <c r="S156" s="2" t="s">
        <v>35</v>
      </c>
      <c r="T156" s="2" t="s">
        <v>35</v>
      </c>
    </row>
    <row r="157" ht="57.6" hidden="1" spans="1:20">
      <c r="A157" s="2" t="s">
        <v>969</v>
      </c>
      <c r="B157" s="2" t="s">
        <v>949</v>
      </c>
      <c r="C157" s="2" t="s">
        <v>950</v>
      </c>
      <c r="D157" s="2" t="s">
        <v>970</v>
      </c>
      <c r="E157" s="2" t="s">
        <v>39</v>
      </c>
      <c r="F157" s="2" t="s">
        <v>24</v>
      </c>
      <c r="G157" s="2" t="s">
        <v>40</v>
      </c>
      <c r="H157" s="7" t="s">
        <v>26</v>
      </c>
      <c r="I157" s="2" t="s">
        <v>27</v>
      </c>
      <c r="J157" s="2" t="s">
        <v>971</v>
      </c>
      <c r="K157" s="2" t="s">
        <v>972</v>
      </c>
      <c r="L157" s="2" t="s">
        <v>973</v>
      </c>
      <c r="M157" s="2" t="s">
        <v>45</v>
      </c>
      <c r="N157" s="2" t="s">
        <v>32</v>
      </c>
      <c r="O157" s="2" t="s">
        <v>974</v>
      </c>
      <c r="P157" s="2" t="s">
        <v>34</v>
      </c>
      <c r="Q157" s="2" t="s">
        <v>35</v>
      </c>
      <c r="R157" s="2" t="s">
        <v>35</v>
      </c>
      <c r="S157" s="2" t="s">
        <v>35</v>
      </c>
      <c r="T157" s="2" t="s">
        <v>35</v>
      </c>
    </row>
    <row r="158" ht="57.6" hidden="1" spans="1:20">
      <c r="A158" s="2" t="s">
        <v>975</v>
      </c>
      <c r="B158" s="2" t="s">
        <v>949</v>
      </c>
      <c r="C158" s="2" t="s">
        <v>950</v>
      </c>
      <c r="D158" s="2" t="s">
        <v>976</v>
      </c>
      <c r="E158" s="2" t="s">
        <v>75</v>
      </c>
      <c r="F158" s="2" t="s">
        <v>76</v>
      </c>
      <c r="G158" s="2" t="s">
        <v>77</v>
      </c>
      <c r="H158" s="8" t="s">
        <v>41</v>
      </c>
      <c r="I158" s="2" t="s">
        <v>217</v>
      </c>
      <c r="J158" s="2" t="s">
        <v>28</v>
      </c>
      <c r="K158" s="2" t="s">
        <v>977</v>
      </c>
      <c r="L158" s="2" t="s">
        <v>978</v>
      </c>
      <c r="M158" s="2" t="s">
        <v>45</v>
      </c>
      <c r="N158" s="2" t="s">
        <v>32</v>
      </c>
      <c r="O158" s="2" t="s">
        <v>979</v>
      </c>
      <c r="P158" s="2" t="s">
        <v>34</v>
      </c>
      <c r="Q158" s="2" t="s">
        <v>35</v>
      </c>
      <c r="R158" s="2" t="s">
        <v>35</v>
      </c>
      <c r="S158" s="2" t="s">
        <v>35</v>
      </c>
      <c r="T158" s="2" t="s">
        <v>35</v>
      </c>
    </row>
    <row r="159" ht="57.6" hidden="1" spans="1:20">
      <c r="A159" s="2" t="s">
        <v>980</v>
      </c>
      <c r="B159" s="2" t="s">
        <v>949</v>
      </c>
      <c r="C159" s="2" t="s">
        <v>950</v>
      </c>
      <c r="D159" s="2" t="s">
        <v>981</v>
      </c>
      <c r="E159" s="2" t="s">
        <v>23</v>
      </c>
      <c r="F159" s="2" t="s">
        <v>24</v>
      </c>
      <c r="G159" s="2" t="s">
        <v>40</v>
      </c>
      <c r="H159" s="7" t="s">
        <v>26</v>
      </c>
      <c r="I159" s="2" t="s">
        <v>27</v>
      </c>
      <c r="J159" s="2" t="s">
        <v>982</v>
      </c>
      <c r="K159" s="2" t="s">
        <v>983</v>
      </c>
      <c r="L159" s="2" t="s">
        <v>984</v>
      </c>
      <c r="M159" s="2" t="s">
        <v>45</v>
      </c>
      <c r="N159" s="2" t="s">
        <v>32</v>
      </c>
      <c r="O159" s="2" t="s">
        <v>35</v>
      </c>
      <c r="P159" s="2" t="s">
        <v>34</v>
      </c>
      <c r="Q159" s="2" t="s">
        <v>35</v>
      </c>
      <c r="R159" s="2" t="s">
        <v>35</v>
      </c>
      <c r="S159" s="2" t="s">
        <v>35</v>
      </c>
      <c r="T159" s="2" t="s">
        <v>35</v>
      </c>
    </row>
    <row r="160" ht="57.6" hidden="1" spans="1:20">
      <c r="A160" s="2" t="s">
        <v>985</v>
      </c>
      <c r="B160" s="2" t="s">
        <v>949</v>
      </c>
      <c r="C160" s="2" t="s">
        <v>950</v>
      </c>
      <c r="D160" s="2" t="s">
        <v>986</v>
      </c>
      <c r="E160" s="2" t="s">
        <v>23</v>
      </c>
      <c r="F160" s="2" t="s">
        <v>24</v>
      </c>
      <c r="G160" s="2" t="s">
        <v>25</v>
      </c>
      <c r="H160" s="7" t="s">
        <v>26</v>
      </c>
      <c r="I160" s="2" t="s">
        <v>27</v>
      </c>
      <c r="J160" s="2" t="s">
        <v>28</v>
      </c>
      <c r="K160" s="2" t="s">
        <v>987</v>
      </c>
      <c r="L160" s="2" t="s">
        <v>988</v>
      </c>
      <c r="M160" s="2" t="s">
        <v>45</v>
      </c>
      <c r="N160" s="2" t="s">
        <v>32</v>
      </c>
      <c r="O160" s="2" t="s">
        <v>35</v>
      </c>
      <c r="P160" s="2" t="s">
        <v>34</v>
      </c>
      <c r="Q160" s="2" t="s">
        <v>35</v>
      </c>
      <c r="R160" s="2" t="s">
        <v>35</v>
      </c>
      <c r="S160" s="2" t="s">
        <v>35</v>
      </c>
      <c r="T160" s="2" t="s">
        <v>35</v>
      </c>
    </row>
    <row r="161" ht="72" hidden="1" spans="1:20">
      <c r="A161" s="2" t="s">
        <v>989</v>
      </c>
      <c r="B161" s="2" t="s">
        <v>949</v>
      </c>
      <c r="C161" s="2" t="s">
        <v>950</v>
      </c>
      <c r="D161" s="2" t="s">
        <v>990</v>
      </c>
      <c r="E161" s="2" t="s">
        <v>39</v>
      </c>
      <c r="F161" s="2" t="s">
        <v>24</v>
      </c>
      <c r="G161" s="2" t="s">
        <v>40</v>
      </c>
      <c r="H161" s="9" t="s">
        <v>66</v>
      </c>
      <c r="I161" s="2" t="s">
        <v>125</v>
      </c>
      <c r="J161" s="2" t="s">
        <v>118</v>
      </c>
      <c r="K161" s="2" t="s">
        <v>991</v>
      </c>
      <c r="L161" s="2" t="s">
        <v>992</v>
      </c>
      <c r="M161" s="2" t="s">
        <v>45</v>
      </c>
      <c r="N161" s="2" t="s">
        <v>32</v>
      </c>
      <c r="O161" s="2" t="s">
        <v>35</v>
      </c>
      <c r="P161" s="2" t="s">
        <v>34</v>
      </c>
      <c r="Q161" s="2" t="s">
        <v>35</v>
      </c>
      <c r="R161" s="2" t="s">
        <v>35</v>
      </c>
      <c r="S161" s="2" t="s">
        <v>35</v>
      </c>
      <c r="T161" s="2" t="s">
        <v>35</v>
      </c>
    </row>
    <row r="162" ht="57.6" hidden="1" spans="1:20">
      <c r="A162" s="2" t="s">
        <v>993</v>
      </c>
      <c r="B162" s="2" t="s">
        <v>949</v>
      </c>
      <c r="C162" s="2" t="s">
        <v>950</v>
      </c>
      <c r="D162" s="2" t="s">
        <v>994</v>
      </c>
      <c r="E162" s="2" t="s">
        <v>75</v>
      </c>
      <c r="F162" s="2" t="s">
        <v>76</v>
      </c>
      <c r="G162" s="2" t="s">
        <v>77</v>
      </c>
      <c r="H162" s="8" t="s">
        <v>41</v>
      </c>
      <c r="I162" s="2" t="s">
        <v>27</v>
      </c>
      <c r="J162" s="2" t="s">
        <v>995</v>
      </c>
      <c r="K162" s="2" t="s">
        <v>996</v>
      </c>
      <c r="L162" s="2" t="s">
        <v>997</v>
      </c>
      <c r="M162" s="2" t="s">
        <v>45</v>
      </c>
      <c r="N162" s="2" t="s">
        <v>32</v>
      </c>
      <c r="O162" s="2" t="s">
        <v>998</v>
      </c>
      <c r="P162" s="2" t="s">
        <v>34</v>
      </c>
      <c r="Q162" s="2" t="s">
        <v>35</v>
      </c>
      <c r="R162" s="2" t="s">
        <v>35</v>
      </c>
      <c r="S162" s="2" t="s">
        <v>35</v>
      </c>
      <c r="T162" s="2" t="s">
        <v>35</v>
      </c>
    </row>
    <row r="163" ht="57.6" hidden="1" spans="1:20">
      <c r="A163" s="2" t="s">
        <v>999</v>
      </c>
      <c r="B163" s="2" t="s">
        <v>949</v>
      </c>
      <c r="C163" s="2" t="s">
        <v>950</v>
      </c>
      <c r="D163" s="2" t="s">
        <v>1000</v>
      </c>
      <c r="E163" s="2" t="s">
        <v>75</v>
      </c>
      <c r="F163" s="2" t="s">
        <v>76</v>
      </c>
      <c r="G163" s="2" t="s">
        <v>77</v>
      </c>
      <c r="H163" s="8" t="s">
        <v>41</v>
      </c>
      <c r="I163" s="2" t="s">
        <v>27</v>
      </c>
      <c r="J163" s="2" t="s">
        <v>1001</v>
      </c>
      <c r="K163" s="2" t="s">
        <v>1002</v>
      </c>
      <c r="L163" s="2" t="s">
        <v>1003</v>
      </c>
      <c r="M163" s="2" t="s">
        <v>45</v>
      </c>
      <c r="N163" s="2" t="s">
        <v>32</v>
      </c>
      <c r="O163" s="2" t="s">
        <v>1004</v>
      </c>
      <c r="P163" s="2" t="s">
        <v>34</v>
      </c>
      <c r="Q163" s="2" t="s">
        <v>35</v>
      </c>
      <c r="R163" s="2" t="s">
        <v>35</v>
      </c>
      <c r="S163" s="2" t="s">
        <v>35</v>
      </c>
      <c r="T163" s="2" t="s">
        <v>35</v>
      </c>
    </row>
    <row r="164" ht="72" hidden="1" spans="1:20">
      <c r="A164" s="2" t="s">
        <v>1005</v>
      </c>
      <c r="B164" s="2" t="s">
        <v>949</v>
      </c>
      <c r="C164" s="2" t="s">
        <v>950</v>
      </c>
      <c r="D164" s="2" t="s">
        <v>1006</v>
      </c>
      <c r="E164" s="2" t="s">
        <v>39</v>
      </c>
      <c r="F164" s="2" t="s">
        <v>24</v>
      </c>
      <c r="G164" s="2" t="s">
        <v>40</v>
      </c>
      <c r="H164" s="8" t="s">
        <v>41</v>
      </c>
      <c r="I164" s="2" t="s">
        <v>125</v>
      </c>
      <c r="J164" s="2" t="s">
        <v>1007</v>
      </c>
      <c r="K164" s="2" t="s">
        <v>1008</v>
      </c>
      <c r="L164" s="2" t="s">
        <v>1009</v>
      </c>
      <c r="M164" s="2" t="s">
        <v>45</v>
      </c>
      <c r="N164" s="2" t="s">
        <v>32</v>
      </c>
      <c r="O164" s="2" t="s">
        <v>35</v>
      </c>
      <c r="P164" s="2" t="s">
        <v>34</v>
      </c>
      <c r="Q164" s="2" t="s">
        <v>35</v>
      </c>
      <c r="R164" s="2" t="s">
        <v>35</v>
      </c>
      <c r="S164" s="2" t="s">
        <v>35</v>
      </c>
      <c r="T164" s="2" t="s">
        <v>35</v>
      </c>
    </row>
    <row r="165" ht="57.6" hidden="1" spans="1:20">
      <c r="A165" s="2" t="s">
        <v>1010</v>
      </c>
      <c r="B165" s="2" t="s">
        <v>949</v>
      </c>
      <c r="C165" s="2" t="s">
        <v>950</v>
      </c>
      <c r="D165" s="2" t="s">
        <v>1011</v>
      </c>
      <c r="E165" s="2" t="s">
        <v>39</v>
      </c>
      <c r="F165" s="2" t="s">
        <v>24</v>
      </c>
      <c r="G165" s="2" t="s">
        <v>40</v>
      </c>
      <c r="H165" s="7" t="s">
        <v>26</v>
      </c>
      <c r="I165" s="2" t="s">
        <v>27</v>
      </c>
      <c r="J165" s="2" t="s">
        <v>1012</v>
      </c>
      <c r="K165" s="2" t="s">
        <v>1013</v>
      </c>
      <c r="L165" s="2" t="s">
        <v>1014</v>
      </c>
      <c r="M165" s="2" t="s">
        <v>45</v>
      </c>
      <c r="N165" s="2" t="s">
        <v>32</v>
      </c>
      <c r="O165" s="2" t="s">
        <v>1015</v>
      </c>
      <c r="P165" s="2" t="s">
        <v>34</v>
      </c>
      <c r="Q165" s="2" t="s">
        <v>35</v>
      </c>
      <c r="R165" s="2" t="s">
        <v>35</v>
      </c>
      <c r="S165" s="2" t="s">
        <v>35</v>
      </c>
      <c r="T165" s="2" t="s">
        <v>35</v>
      </c>
    </row>
    <row r="166" ht="57.6" hidden="1" spans="1:20">
      <c r="A166" s="2" t="s">
        <v>1016</v>
      </c>
      <c r="B166" s="2" t="s">
        <v>1017</v>
      </c>
      <c r="C166" s="2" t="s">
        <v>950</v>
      </c>
      <c r="D166" s="2" t="s">
        <v>1018</v>
      </c>
      <c r="E166" s="2" t="s">
        <v>39</v>
      </c>
      <c r="F166" s="2" t="s">
        <v>24</v>
      </c>
      <c r="G166" s="2" t="s">
        <v>40</v>
      </c>
      <c r="H166" s="8" t="s">
        <v>41</v>
      </c>
      <c r="I166" s="2" t="s">
        <v>27</v>
      </c>
      <c r="J166" s="2" t="s">
        <v>107</v>
      </c>
      <c r="K166" s="2" t="s">
        <v>1019</v>
      </c>
      <c r="L166" s="2" t="s">
        <v>1020</v>
      </c>
      <c r="M166" s="2" t="s">
        <v>45</v>
      </c>
      <c r="N166" s="2" t="s">
        <v>32</v>
      </c>
      <c r="O166" s="2" t="s">
        <v>1021</v>
      </c>
      <c r="P166" s="2" t="s">
        <v>34</v>
      </c>
      <c r="Q166" s="2" t="s">
        <v>35</v>
      </c>
      <c r="R166" s="2" t="s">
        <v>35</v>
      </c>
      <c r="S166" s="2" t="s">
        <v>35</v>
      </c>
      <c r="T166" s="2" t="s">
        <v>35</v>
      </c>
    </row>
    <row r="167" ht="43.2" hidden="1" spans="1:20">
      <c r="A167" s="2" t="s">
        <v>1022</v>
      </c>
      <c r="B167" s="2" t="s">
        <v>1017</v>
      </c>
      <c r="C167" s="2" t="s">
        <v>950</v>
      </c>
      <c r="D167" s="2" t="s">
        <v>1023</v>
      </c>
      <c r="E167" s="2" t="s">
        <v>39</v>
      </c>
      <c r="F167" s="2" t="s">
        <v>24</v>
      </c>
      <c r="G167" s="2" t="s">
        <v>40</v>
      </c>
      <c r="H167" s="8" t="s">
        <v>41</v>
      </c>
      <c r="I167" s="2" t="s">
        <v>27</v>
      </c>
      <c r="J167" s="2" t="s">
        <v>1024</v>
      </c>
      <c r="K167" s="2" t="s">
        <v>1025</v>
      </c>
      <c r="L167" s="2" t="s">
        <v>1026</v>
      </c>
      <c r="M167" s="2" t="s">
        <v>45</v>
      </c>
      <c r="N167" s="2" t="s">
        <v>32</v>
      </c>
      <c r="O167" s="2" t="s">
        <v>1021</v>
      </c>
      <c r="P167" s="2" t="s">
        <v>34</v>
      </c>
      <c r="Q167" s="2" t="s">
        <v>35</v>
      </c>
      <c r="R167" s="2" t="s">
        <v>35</v>
      </c>
      <c r="S167" s="2" t="s">
        <v>35</v>
      </c>
      <c r="T167" s="2" t="s">
        <v>35</v>
      </c>
    </row>
    <row r="168" ht="57.6" hidden="1" spans="1:20">
      <c r="A168" s="2" t="s">
        <v>1027</v>
      </c>
      <c r="B168" s="2" t="s">
        <v>1017</v>
      </c>
      <c r="C168" s="2" t="s">
        <v>950</v>
      </c>
      <c r="D168" s="2" t="s">
        <v>1028</v>
      </c>
      <c r="E168" s="2" t="s">
        <v>39</v>
      </c>
      <c r="F168" s="2" t="s">
        <v>24</v>
      </c>
      <c r="G168" s="2" t="s">
        <v>40</v>
      </c>
      <c r="H168" s="7" t="s">
        <v>26</v>
      </c>
      <c r="I168" s="2" t="s">
        <v>27</v>
      </c>
      <c r="J168" s="2" t="s">
        <v>107</v>
      </c>
      <c r="K168" s="2" t="s">
        <v>1029</v>
      </c>
      <c r="L168" s="2" t="s">
        <v>1030</v>
      </c>
      <c r="M168" s="2" t="s">
        <v>45</v>
      </c>
      <c r="N168" s="2" t="s">
        <v>32</v>
      </c>
      <c r="O168" s="2" t="s">
        <v>35</v>
      </c>
      <c r="P168" s="2" t="s">
        <v>34</v>
      </c>
      <c r="Q168" s="2" t="s">
        <v>35</v>
      </c>
      <c r="R168" s="2" t="s">
        <v>35</v>
      </c>
      <c r="S168" s="2" t="s">
        <v>35</v>
      </c>
      <c r="T168" s="2" t="s">
        <v>35</v>
      </c>
    </row>
    <row r="169" ht="43.2" hidden="1" spans="1:20">
      <c r="A169" s="2" t="s">
        <v>1031</v>
      </c>
      <c r="B169" s="2" t="s">
        <v>1017</v>
      </c>
      <c r="C169" s="2" t="s">
        <v>950</v>
      </c>
      <c r="D169" s="2" t="s">
        <v>1032</v>
      </c>
      <c r="E169" s="2" t="s">
        <v>39</v>
      </c>
      <c r="F169" s="2" t="s">
        <v>163</v>
      </c>
      <c r="G169" s="2" t="s">
        <v>40</v>
      </c>
      <c r="H169" s="7" t="s">
        <v>26</v>
      </c>
      <c r="I169" s="2" t="s">
        <v>1033</v>
      </c>
      <c r="J169" s="2" t="s">
        <v>1034</v>
      </c>
      <c r="K169" s="2" t="s">
        <v>1035</v>
      </c>
      <c r="L169" s="2" t="s">
        <v>1036</v>
      </c>
      <c r="M169" s="2" t="s">
        <v>45</v>
      </c>
      <c r="N169" s="2" t="s">
        <v>32</v>
      </c>
      <c r="O169" s="2" t="s">
        <v>35</v>
      </c>
      <c r="P169" s="2" t="s">
        <v>34</v>
      </c>
      <c r="Q169" s="2" t="s">
        <v>35</v>
      </c>
      <c r="R169" s="2" t="s">
        <v>35</v>
      </c>
      <c r="S169" s="2" t="s">
        <v>35</v>
      </c>
      <c r="T169" s="2" t="s">
        <v>35</v>
      </c>
    </row>
    <row r="170" ht="57.6" hidden="1" spans="1:20">
      <c r="A170" s="2" t="s">
        <v>1037</v>
      </c>
      <c r="B170" s="2" t="s">
        <v>1017</v>
      </c>
      <c r="C170" s="2" t="s">
        <v>950</v>
      </c>
      <c r="D170" s="2" t="s">
        <v>1038</v>
      </c>
      <c r="E170" s="2" t="s">
        <v>39</v>
      </c>
      <c r="F170" s="2" t="s">
        <v>139</v>
      </c>
      <c r="G170" s="2" t="s">
        <v>105</v>
      </c>
      <c r="H170" s="7" t="s">
        <v>26</v>
      </c>
      <c r="I170" s="2" t="s">
        <v>125</v>
      </c>
      <c r="J170" s="2" t="s">
        <v>1039</v>
      </c>
      <c r="K170" s="2" t="s">
        <v>1040</v>
      </c>
      <c r="L170" s="2" t="s">
        <v>1041</v>
      </c>
      <c r="M170" s="2" t="s">
        <v>45</v>
      </c>
      <c r="N170" s="2" t="s">
        <v>32</v>
      </c>
      <c r="O170" s="2" t="s">
        <v>35</v>
      </c>
      <c r="P170" s="2" t="s">
        <v>34</v>
      </c>
      <c r="Q170" s="2" t="s">
        <v>35</v>
      </c>
      <c r="R170" s="2" t="s">
        <v>35</v>
      </c>
      <c r="S170" s="2" t="s">
        <v>35</v>
      </c>
      <c r="T170" s="2" t="s">
        <v>35</v>
      </c>
    </row>
    <row r="171" ht="57.6" hidden="1" spans="1:20">
      <c r="A171" s="2" t="s">
        <v>1042</v>
      </c>
      <c r="B171" s="2" t="s">
        <v>1017</v>
      </c>
      <c r="C171" s="2" t="s">
        <v>950</v>
      </c>
      <c r="D171" s="2" t="s">
        <v>1043</v>
      </c>
      <c r="E171" s="2" t="s">
        <v>39</v>
      </c>
      <c r="F171" s="2" t="s">
        <v>24</v>
      </c>
      <c r="G171" s="2" t="s">
        <v>40</v>
      </c>
      <c r="H171" s="8" t="s">
        <v>41</v>
      </c>
      <c r="I171" s="2" t="s">
        <v>125</v>
      </c>
      <c r="J171" s="2" t="s">
        <v>165</v>
      </c>
      <c r="K171" s="2" t="s">
        <v>166</v>
      </c>
      <c r="L171" s="2" t="s">
        <v>1044</v>
      </c>
      <c r="M171" s="2" t="s">
        <v>45</v>
      </c>
      <c r="N171" s="2" t="s">
        <v>32</v>
      </c>
      <c r="O171" s="2" t="s">
        <v>1045</v>
      </c>
      <c r="P171" s="3" t="s">
        <v>146</v>
      </c>
      <c r="Q171" s="2" t="s">
        <v>35</v>
      </c>
      <c r="R171" s="2" t="s">
        <v>35</v>
      </c>
      <c r="S171" s="2" t="s">
        <v>35</v>
      </c>
      <c r="T171" s="2" t="s">
        <v>35</v>
      </c>
    </row>
    <row r="172" ht="43.2" hidden="1" spans="1:20">
      <c r="A172" s="2" t="s">
        <v>1046</v>
      </c>
      <c r="B172" s="2" t="s">
        <v>1047</v>
      </c>
      <c r="C172" s="2" t="s">
        <v>950</v>
      </c>
      <c r="D172" s="2" t="s">
        <v>1048</v>
      </c>
      <c r="E172" s="2" t="s">
        <v>39</v>
      </c>
      <c r="F172" s="2" t="s">
        <v>24</v>
      </c>
      <c r="G172" s="2" t="s">
        <v>40</v>
      </c>
      <c r="H172" s="8" t="s">
        <v>41</v>
      </c>
      <c r="I172" s="2" t="s">
        <v>27</v>
      </c>
      <c r="J172" s="2" t="s">
        <v>28</v>
      </c>
      <c r="K172" s="2" t="s">
        <v>1049</v>
      </c>
      <c r="L172" s="2" t="s">
        <v>1050</v>
      </c>
      <c r="M172" s="2" t="s">
        <v>45</v>
      </c>
      <c r="N172" s="2" t="s">
        <v>32</v>
      </c>
      <c r="O172" s="2" t="s">
        <v>1051</v>
      </c>
      <c r="P172" s="2" t="s">
        <v>34</v>
      </c>
      <c r="Q172" s="2" t="s">
        <v>35</v>
      </c>
      <c r="R172" s="2" t="s">
        <v>35</v>
      </c>
      <c r="S172" s="2" t="s">
        <v>35</v>
      </c>
      <c r="T172" s="2" t="s">
        <v>35</v>
      </c>
    </row>
    <row r="173" ht="57.6" hidden="1" spans="1:20">
      <c r="A173" s="2" t="s">
        <v>1052</v>
      </c>
      <c r="B173" s="2" t="s">
        <v>1047</v>
      </c>
      <c r="C173" s="2" t="s">
        <v>950</v>
      </c>
      <c r="D173" s="2" t="s">
        <v>1053</v>
      </c>
      <c r="E173" s="2" t="s">
        <v>39</v>
      </c>
      <c r="F173" s="2" t="s">
        <v>24</v>
      </c>
      <c r="G173" s="2" t="s">
        <v>40</v>
      </c>
      <c r="H173" s="7" t="s">
        <v>26</v>
      </c>
      <c r="I173" s="2" t="s">
        <v>27</v>
      </c>
      <c r="J173" s="2" t="s">
        <v>1054</v>
      </c>
      <c r="K173" s="2" t="s">
        <v>1055</v>
      </c>
      <c r="L173" s="2" t="s">
        <v>1056</v>
      </c>
      <c r="M173" s="2" t="s">
        <v>45</v>
      </c>
      <c r="N173" s="2" t="s">
        <v>32</v>
      </c>
      <c r="O173" s="2" t="s">
        <v>35</v>
      </c>
      <c r="P173" s="2" t="s">
        <v>34</v>
      </c>
      <c r="Q173" s="2" t="s">
        <v>35</v>
      </c>
      <c r="R173" s="2" t="s">
        <v>35</v>
      </c>
      <c r="S173" s="2" t="s">
        <v>35</v>
      </c>
      <c r="T173" s="2" t="s">
        <v>35</v>
      </c>
    </row>
    <row r="174" ht="43.2" hidden="1" spans="1:20">
      <c r="A174" s="2" t="s">
        <v>1057</v>
      </c>
      <c r="B174" s="2" t="s">
        <v>1047</v>
      </c>
      <c r="C174" s="2" t="s">
        <v>950</v>
      </c>
      <c r="D174" s="2" t="s">
        <v>1058</v>
      </c>
      <c r="E174" s="2" t="s">
        <v>39</v>
      </c>
      <c r="F174" s="2" t="s">
        <v>76</v>
      </c>
      <c r="G174" s="2" t="s">
        <v>77</v>
      </c>
      <c r="H174" s="7" t="s">
        <v>26</v>
      </c>
      <c r="I174" s="2" t="s">
        <v>27</v>
      </c>
      <c r="J174" s="2" t="s">
        <v>1059</v>
      </c>
      <c r="K174" s="2" t="s">
        <v>1060</v>
      </c>
      <c r="L174" s="2" t="s">
        <v>1061</v>
      </c>
      <c r="M174" s="2" t="s">
        <v>45</v>
      </c>
      <c r="N174" s="2" t="s">
        <v>32</v>
      </c>
      <c r="O174" s="2" t="s">
        <v>35</v>
      </c>
      <c r="P174" s="2" t="s">
        <v>34</v>
      </c>
      <c r="Q174" s="2" t="s">
        <v>35</v>
      </c>
      <c r="R174" s="2" t="s">
        <v>35</v>
      </c>
      <c r="S174" s="2" t="s">
        <v>35</v>
      </c>
      <c r="T174" s="2" t="s">
        <v>35</v>
      </c>
    </row>
    <row r="175" ht="57.6" hidden="1" spans="1:20">
      <c r="A175" s="2" t="s">
        <v>1062</v>
      </c>
      <c r="B175" s="2" t="s">
        <v>1047</v>
      </c>
      <c r="C175" s="2" t="s">
        <v>950</v>
      </c>
      <c r="D175" s="2" t="s">
        <v>1063</v>
      </c>
      <c r="E175" s="2" t="s">
        <v>39</v>
      </c>
      <c r="F175" s="2" t="s">
        <v>24</v>
      </c>
      <c r="G175" s="2" t="s">
        <v>40</v>
      </c>
      <c r="H175" s="8" t="s">
        <v>41</v>
      </c>
      <c r="I175" s="2" t="s">
        <v>27</v>
      </c>
      <c r="J175" s="2" t="s">
        <v>1064</v>
      </c>
      <c r="K175" s="2" t="s">
        <v>1065</v>
      </c>
      <c r="L175" s="2" t="s">
        <v>1066</v>
      </c>
      <c r="M175" s="2" t="s">
        <v>45</v>
      </c>
      <c r="N175" s="2" t="s">
        <v>32</v>
      </c>
      <c r="O175" s="2" t="s">
        <v>1067</v>
      </c>
      <c r="P175" s="2" t="s">
        <v>34</v>
      </c>
      <c r="Q175" s="2" t="s">
        <v>35</v>
      </c>
      <c r="R175" s="2" t="s">
        <v>35</v>
      </c>
      <c r="S175" s="2" t="s">
        <v>35</v>
      </c>
      <c r="T175" s="2" t="s">
        <v>35</v>
      </c>
    </row>
    <row r="176" ht="57.6" hidden="1" spans="1:20">
      <c r="A176" s="2" t="s">
        <v>1068</v>
      </c>
      <c r="B176" s="2" t="s">
        <v>1047</v>
      </c>
      <c r="C176" s="2" t="s">
        <v>950</v>
      </c>
      <c r="D176" s="2" t="s">
        <v>1069</v>
      </c>
      <c r="E176" s="2" t="s">
        <v>39</v>
      </c>
      <c r="F176" s="2" t="s">
        <v>24</v>
      </c>
      <c r="G176" s="2" t="s">
        <v>40</v>
      </c>
      <c r="H176" s="8" t="s">
        <v>41</v>
      </c>
      <c r="I176" s="2" t="s">
        <v>27</v>
      </c>
      <c r="J176" s="2" t="s">
        <v>1070</v>
      </c>
      <c r="K176" s="2" t="s">
        <v>1071</v>
      </c>
      <c r="L176" s="2" t="s">
        <v>1072</v>
      </c>
      <c r="M176" s="2" t="s">
        <v>45</v>
      </c>
      <c r="N176" s="2" t="s">
        <v>32</v>
      </c>
      <c r="O176" s="2" t="s">
        <v>1073</v>
      </c>
      <c r="P176" s="2" t="s">
        <v>34</v>
      </c>
      <c r="Q176" s="2" t="s">
        <v>35</v>
      </c>
      <c r="R176" s="2" t="s">
        <v>35</v>
      </c>
      <c r="S176" s="2" t="s">
        <v>35</v>
      </c>
      <c r="T176" s="2" t="s">
        <v>35</v>
      </c>
    </row>
    <row r="177" ht="72" hidden="1" spans="1:20">
      <c r="A177" s="2" t="s">
        <v>1074</v>
      </c>
      <c r="B177" s="2" t="s">
        <v>1047</v>
      </c>
      <c r="C177" s="2" t="s">
        <v>950</v>
      </c>
      <c r="D177" s="2" t="s">
        <v>1075</v>
      </c>
      <c r="E177" s="2" t="s">
        <v>39</v>
      </c>
      <c r="F177" s="2" t="s">
        <v>24</v>
      </c>
      <c r="G177" s="2" t="s">
        <v>40</v>
      </c>
      <c r="H177" s="9" t="s">
        <v>66</v>
      </c>
      <c r="I177" s="2" t="s">
        <v>125</v>
      </c>
      <c r="J177" s="2" t="s">
        <v>557</v>
      </c>
      <c r="K177" s="2" t="s">
        <v>1076</v>
      </c>
      <c r="L177" s="2" t="s">
        <v>1077</v>
      </c>
      <c r="M177" s="2" t="s">
        <v>45</v>
      </c>
      <c r="N177" s="2" t="s">
        <v>32</v>
      </c>
      <c r="O177" s="2" t="s">
        <v>1078</v>
      </c>
      <c r="P177" s="2" t="s">
        <v>34</v>
      </c>
      <c r="Q177" s="2" t="s">
        <v>35</v>
      </c>
      <c r="R177" s="2" t="s">
        <v>35</v>
      </c>
      <c r="S177" s="2" t="s">
        <v>35</v>
      </c>
      <c r="T177" s="2" t="s">
        <v>35</v>
      </c>
    </row>
    <row r="178" ht="57.6" hidden="1" spans="1:20">
      <c r="A178" s="2" t="s">
        <v>1079</v>
      </c>
      <c r="B178" s="2" t="s">
        <v>1047</v>
      </c>
      <c r="C178" s="2" t="s">
        <v>950</v>
      </c>
      <c r="D178" s="2" t="s">
        <v>1080</v>
      </c>
      <c r="E178" s="2" t="s">
        <v>39</v>
      </c>
      <c r="F178" s="2" t="s">
        <v>24</v>
      </c>
      <c r="G178" s="2" t="s">
        <v>40</v>
      </c>
      <c r="H178" s="7" t="s">
        <v>26</v>
      </c>
      <c r="I178" s="2" t="s">
        <v>27</v>
      </c>
      <c r="J178" s="2" t="s">
        <v>1081</v>
      </c>
      <c r="K178" s="2" t="s">
        <v>1082</v>
      </c>
      <c r="L178" s="2" t="s">
        <v>1083</v>
      </c>
      <c r="M178" s="2" t="s">
        <v>45</v>
      </c>
      <c r="N178" s="2" t="s">
        <v>32</v>
      </c>
      <c r="O178" s="2" t="s">
        <v>35</v>
      </c>
      <c r="P178" s="2" t="s">
        <v>34</v>
      </c>
      <c r="Q178" s="2" t="s">
        <v>35</v>
      </c>
      <c r="R178" s="2" t="s">
        <v>35</v>
      </c>
      <c r="S178" s="2" t="s">
        <v>35</v>
      </c>
      <c r="T178" s="2" t="s">
        <v>35</v>
      </c>
    </row>
    <row r="179" ht="43.2" hidden="1" spans="1:20">
      <c r="A179" s="2" t="s">
        <v>1084</v>
      </c>
      <c r="B179" s="2" t="s">
        <v>1047</v>
      </c>
      <c r="C179" s="2" t="s">
        <v>950</v>
      </c>
      <c r="D179" s="2" t="s">
        <v>1085</v>
      </c>
      <c r="E179" s="2" t="s">
        <v>23</v>
      </c>
      <c r="F179" s="2" t="s">
        <v>163</v>
      </c>
      <c r="G179" s="2" t="s">
        <v>40</v>
      </c>
      <c r="H179" s="7" t="s">
        <v>26</v>
      </c>
      <c r="I179" s="2" t="s">
        <v>217</v>
      </c>
      <c r="J179" s="2" t="s">
        <v>1086</v>
      </c>
      <c r="K179" s="2" t="s">
        <v>1087</v>
      </c>
      <c r="L179" s="2" t="s">
        <v>1088</v>
      </c>
      <c r="M179" s="2" t="s">
        <v>45</v>
      </c>
      <c r="N179" s="2" t="s">
        <v>32</v>
      </c>
      <c r="O179" s="2" t="s">
        <v>1089</v>
      </c>
      <c r="P179" s="3" t="s">
        <v>1090</v>
      </c>
      <c r="Q179" s="2" t="s">
        <v>35</v>
      </c>
      <c r="R179" s="2" t="s">
        <v>35</v>
      </c>
      <c r="S179" s="2" t="s">
        <v>35</v>
      </c>
      <c r="T179" s="2" t="s">
        <v>35</v>
      </c>
    </row>
    <row r="180" ht="28.8" hidden="1" spans="1:20">
      <c r="A180" s="2" t="s">
        <v>1091</v>
      </c>
      <c r="B180" s="2" t="s">
        <v>1047</v>
      </c>
      <c r="C180" s="2" t="s">
        <v>950</v>
      </c>
      <c r="D180" s="2" t="s">
        <v>1092</v>
      </c>
      <c r="E180" s="2" t="s">
        <v>23</v>
      </c>
      <c r="F180" s="2" t="s">
        <v>163</v>
      </c>
      <c r="G180" s="2" t="s">
        <v>40</v>
      </c>
      <c r="H180" s="7" t="s">
        <v>26</v>
      </c>
      <c r="I180" s="2" t="s">
        <v>1093</v>
      </c>
      <c r="J180" s="2" t="s">
        <v>28</v>
      </c>
      <c r="K180" s="2" t="s">
        <v>91</v>
      </c>
      <c r="L180" s="2" t="s">
        <v>1094</v>
      </c>
      <c r="M180" s="2" t="s">
        <v>45</v>
      </c>
      <c r="N180" s="2" t="s">
        <v>32</v>
      </c>
      <c r="O180" s="2" t="s">
        <v>961</v>
      </c>
      <c r="P180" s="2" t="s">
        <v>34</v>
      </c>
      <c r="Q180" s="2" t="s">
        <v>35</v>
      </c>
      <c r="R180" s="2" t="s">
        <v>35</v>
      </c>
      <c r="S180" s="2" t="s">
        <v>35</v>
      </c>
      <c r="T180" s="2" t="s">
        <v>35</v>
      </c>
    </row>
    <row r="181" ht="57.6" hidden="1" spans="1:20">
      <c r="A181" s="2" t="s">
        <v>1095</v>
      </c>
      <c r="B181" s="2" t="s">
        <v>1047</v>
      </c>
      <c r="C181" s="2" t="s">
        <v>950</v>
      </c>
      <c r="D181" s="2" t="s">
        <v>1096</v>
      </c>
      <c r="E181" s="2" t="s">
        <v>39</v>
      </c>
      <c r="F181" s="2" t="s">
        <v>24</v>
      </c>
      <c r="G181" s="2" t="s">
        <v>40</v>
      </c>
      <c r="H181" s="7" t="s">
        <v>26</v>
      </c>
      <c r="I181" s="2" t="s">
        <v>125</v>
      </c>
      <c r="J181" s="2" t="s">
        <v>1097</v>
      </c>
      <c r="K181" s="2" t="s">
        <v>1098</v>
      </c>
      <c r="L181" s="2" t="s">
        <v>1099</v>
      </c>
      <c r="M181" s="2" t="s">
        <v>45</v>
      </c>
      <c r="N181" s="2" t="s">
        <v>32</v>
      </c>
      <c r="O181" s="2" t="s">
        <v>35</v>
      </c>
      <c r="P181" s="2" t="s">
        <v>34</v>
      </c>
      <c r="Q181" s="2" t="s">
        <v>35</v>
      </c>
      <c r="R181" s="2" t="s">
        <v>35</v>
      </c>
      <c r="S181" s="2" t="s">
        <v>35</v>
      </c>
      <c r="T181" s="2" t="s">
        <v>35</v>
      </c>
    </row>
    <row r="182" ht="72" hidden="1" spans="1:20">
      <c r="A182" s="2" t="s">
        <v>1100</v>
      </c>
      <c r="B182" s="2" t="s">
        <v>1047</v>
      </c>
      <c r="C182" s="2" t="s">
        <v>1101</v>
      </c>
      <c r="D182" s="2" t="s">
        <v>1102</v>
      </c>
      <c r="E182" s="2" t="s">
        <v>39</v>
      </c>
      <c r="F182" s="2" t="s">
        <v>139</v>
      </c>
      <c r="G182" s="2" t="s">
        <v>40</v>
      </c>
      <c r="H182" s="8" t="s">
        <v>41</v>
      </c>
      <c r="I182" s="2" t="s">
        <v>125</v>
      </c>
      <c r="J182" s="2" t="s">
        <v>165</v>
      </c>
      <c r="K182" s="2" t="s">
        <v>1103</v>
      </c>
      <c r="L182" s="2" t="s">
        <v>1104</v>
      </c>
      <c r="M182" s="2" t="s">
        <v>45</v>
      </c>
      <c r="N182" s="2" t="s">
        <v>32</v>
      </c>
      <c r="O182" s="2" t="s">
        <v>1105</v>
      </c>
      <c r="P182" s="3" t="s">
        <v>146</v>
      </c>
      <c r="Q182" s="2" t="s">
        <v>35</v>
      </c>
      <c r="R182" s="2" t="s">
        <v>35</v>
      </c>
      <c r="S182" s="2" t="s">
        <v>35</v>
      </c>
      <c r="T182" s="2" t="s">
        <v>35</v>
      </c>
    </row>
    <row r="183" ht="43.2" hidden="1" spans="1:20">
      <c r="A183" s="2" t="s">
        <v>1106</v>
      </c>
      <c r="B183" s="2" t="s">
        <v>1047</v>
      </c>
      <c r="C183" s="2" t="s">
        <v>102</v>
      </c>
      <c r="D183" s="2" t="s">
        <v>1107</v>
      </c>
      <c r="E183" s="2" t="s">
        <v>23</v>
      </c>
      <c r="F183" s="2" t="s">
        <v>24</v>
      </c>
      <c r="G183" s="2" t="s">
        <v>25</v>
      </c>
      <c r="H183" s="11" t="s">
        <v>592</v>
      </c>
      <c r="I183" s="2" t="s">
        <v>27</v>
      </c>
      <c r="J183" s="2" t="s">
        <v>28</v>
      </c>
      <c r="K183" s="2" t="s">
        <v>1108</v>
      </c>
      <c r="L183" s="2" t="s">
        <v>1109</v>
      </c>
      <c r="M183" s="2" t="s">
        <v>45</v>
      </c>
      <c r="N183" s="2" t="s">
        <v>32</v>
      </c>
      <c r="O183" s="2" t="s">
        <v>35</v>
      </c>
      <c r="P183" s="2" t="s">
        <v>34</v>
      </c>
      <c r="Q183" s="2" t="s">
        <v>35</v>
      </c>
      <c r="R183" s="2" t="s">
        <v>35</v>
      </c>
      <c r="S183" s="2" t="s">
        <v>35</v>
      </c>
      <c r="T183" s="2" t="s">
        <v>35</v>
      </c>
    </row>
    <row r="184" ht="57.6" hidden="1" spans="1:20">
      <c r="A184" s="2" t="s">
        <v>1110</v>
      </c>
      <c r="B184" s="2" t="s">
        <v>1047</v>
      </c>
      <c r="C184" s="2" t="s">
        <v>950</v>
      </c>
      <c r="D184" s="2" t="s">
        <v>1111</v>
      </c>
      <c r="E184" s="2" t="s">
        <v>39</v>
      </c>
      <c r="F184" s="2" t="s">
        <v>163</v>
      </c>
      <c r="G184" s="2" t="s">
        <v>40</v>
      </c>
      <c r="H184" s="7" t="s">
        <v>26</v>
      </c>
      <c r="I184" s="2" t="s">
        <v>125</v>
      </c>
      <c r="J184" s="2" t="s">
        <v>1034</v>
      </c>
      <c r="K184" s="2" t="s">
        <v>1112</v>
      </c>
      <c r="L184" s="2" t="s">
        <v>1113</v>
      </c>
      <c r="M184" s="2" t="s">
        <v>45</v>
      </c>
      <c r="N184" s="2" t="s">
        <v>32</v>
      </c>
      <c r="O184" s="2" t="s">
        <v>1114</v>
      </c>
      <c r="P184" s="3" t="s">
        <v>1115</v>
      </c>
      <c r="Q184" s="2" t="s">
        <v>35</v>
      </c>
      <c r="R184" s="2" t="s">
        <v>35</v>
      </c>
      <c r="S184" s="2" t="s">
        <v>35</v>
      </c>
      <c r="T184" s="2" t="s">
        <v>35</v>
      </c>
    </row>
    <row r="185" ht="43.2" hidden="1" spans="1:20">
      <c r="A185" s="2" t="s">
        <v>1116</v>
      </c>
      <c r="B185" s="2" t="s">
        <v>1047</v>
      </c>
      <c r="C185" s="2" t="s">
        <v>950</v>
      </c>
      <c r="D185" s="2" t="s">
        <v>1117</v>
      </c>
      <c r="E185" s="2" t="s">
        <v>39</v>
      </c>
      <c r="F185" s="2" t="s">
        <v>24</v>
      </c>
      <c r="G185" s="2" t="s">
        <v>40</v>
      </c>
      <c r="H185" s="7" t="s">
        <v>26</v>
      </c>
      <c r="I185" s="2" t="s">
        <v>27</v>
      </c>
      <c r="J185" s="2" t="s">
        <v>1118</v>
      </c>
      <c r="K185" s="2" t="s">
        <v>1119</v>
      </c>
      <c r="L185" s="2" t="s">
        <v>1120</v>
      </c>
      <c r="M185" s="2" t="s">
        <v>45</v>
      </c>
      <c r="N185" s="2" t="s">
        <v>32</v>
      </c>
      <c r="O185" s="2" t="s">
        <v>35</v>
      </c>
      <c r="P185" s="2" t="s">
        <v>34</v>
      </c>
      <c r="Q185" s="2" t="s">
        <v>35</v>
      </c>
      <c r="R185" s="2" t="s">
        <v>35</v>
      </c>
      <c r="S185" s="2" t="s">
        <v>35</v>
      </c>
      <c r="T185" s="2" t="s">
        <v>35</v>
      </c>
    </row>
    <row r="186" ht="43.2" hidden="1" spans="1:20">
      <c r="A186" s="2" t="s">
        <v>1121</v>
      </c>
      <c r="B186" s="2" t="s">
        <v>1047</v>
      </c>
      <c r="C186" s="2" t="s">
        <v>950</v>
      </c>
      <c r="D186" s="2" t="s">
        <v>1122</v>
      </c>
      <c r="E186" s="2" t="s">
        <v>23</v>
      </c>
      <c r="F186" s="2" t="s">
        <v>24</v>
      </c>
      <c r="G186" s="2" t="s">
        <v>25</v>
      </c>
      <c r="H186" s="11" t="s">
        <v>592</v>
      </c>
      <c r="I186" s="2" t="s">
        <v>27</v>
      </c>
      <c r="J186" s="2" t="s">
        <v>28</v>
      </c>
      <c r="K186" s="2" t="s">
        <v>1123</v>
      </c>
      <c r="L186" s="2" t="s">
        <v>1124</v>
      </c>
      <c r="M186" s="2" t="s">
        <v>31</v>
      </c>
      <c r="N186" s="2" t="s">
        <v>32</v>
      </c>
      <c r="O186" s="2" t="s">
        <v>35</v>
      </c>
      <c r="P186" s="2" t="s">
        <v>34</v>
      </c>
      <c r="Q186" s="2" t="s">
        <v>35</v>
      </c>
      <c r="R186" s="2" t="s">
        <v>35</v>
      </c>
      <c r="S186" s="2" t="s">
        <v>35</v>
      </c>
      <c r="T186" s="2" t="s">
        <v>35</v>
      </c>
    </row>
    <row r="187" ht="86.4" hidden="1" spans="1:20">
      <c r="A187" s="2" t="s">
        <v>1125</v>
      </c>
      <c r="B187" s="2" t="s">
        <v>1047</v>
      </c>
      <c r="C187" s="2" t="s">
        <v>215</v>
      </c>
      <c r="D187" s="2" t="s">
        <v>1126</v>
      </c>
      <c r="E187" s="2" t="s">
        <v>39</v>
      </c>
      <c r="F187" s="2" t="s">
        <v>139</v>
      </c>
      <c r="G187" s="2" t="s">
        <v>140</v>
      </c>
      <c r="H187" s="9" t="s">
        <v>66</v>
      </c>
      <c r="I187" s="2" t="s">
        <v>1127</v>
      </c>
      <c r="J187" s="2" t="s">
        <v>392</v>
      </c>
      <c r="K187" s="2" t="s">
        <v>1128</v>
      </c>
      <c r="L187" s="2" t="s">
        <v>1129</v>
      </c>
      <c r="M187" s="2" t="s">
        <v>45</v>
      </c>
      <c r="N187" s="2" t="s">
        <v>32</v>
      </c>
      <c r="O187" s="2" t="s">
        <v>1130</v>
      </c>
      <c r="P187" s="2" t="s">
        <v>34</v>
      </c>
      <c r="Q187" s="2" t="s">
        <v>35</v>
      </c>
      <c r="R187" s="2" t="s">
        <v>35</v>
      </c>
      <c r="S187" s="2" t="s">
        <v>35</v>
      </c>
      <c r="T187" s="2" t="s">
        <v>35</v>
      </c>
    </row>
    <row r="188" ht="57.6" hidden="1" spans="1:20">
      <c r="A188" s="2" t="s">
        <v>1131</v>
      </c>
      <c r="B188" s="2" t="s">
        <v>1047</v>
      </c>
      <c r="C188" s="2" t="s">
        <v>950</v>
      </c>
      <c r="D188" s="2" t="s">
        <v>1132</v>
      </c>
      <c r="E188" s="2" t="s">
        <v>39</v>
      </c>
      <c r="F188" s="2" t="s">
        <v>24</v>
      </c>
      <c r="G188" s="2" t="s">
        <v>40</v>
      </c>
      <c r="H188" s="7" t="s">
        <v>26</v>
      </c>
      <c r="I188" s="2" t="s">
        <v>27</v>
      </c>
      <c r="J188" s="2" t="s">
        <v>964</v>
      </c>
      <c r="K188" s="2" t="s">
        <v>1133</v>
      </c>
      <c r="L188" s="2" t="s">
        <v>1134</v>
      </c>
      <c r="M188" s="2" t="s">
        <v>45</v>
      </c>
      <c r="N188" s="2" t="s">
        <v>32</v>
      </c>
      <c r="O188" s="2" t="s">
        <v>1135</v>
      </c>
      <c r="P188" s="3" t="s">
        <v>1090</v>
      </c>
      <c r="Q188" s="2" t="s">
        <v>35</v>
      </c>
      <c r="R188" s="2" t="s">
        <v>35</v>
      </c>
      <c r="S188" s="2" t="s">
        <v>35</v>
      </c>
      <c r="T188" s="2" t="s">
        <v>35</v>
      </c>
    </row>
    <row r="189" ht="72" hidden="1" spans="1:20">
      <c r="A189" s="2" t="s">
        <v>1136</v>
      </c>
      <c r="B189" s="2" t="s">
        <v>1047</v>
      </c>
      <c r="C189" s="2" t="s">
        <v>950</v>
      </c>
      <c r="D189" s="2" t="s">
        <v>1137</v>
      </c>
      <c r="E189" s="2" t="s">
        <v>39</v>
      </c>
      <c r="F189" s="2" t="s">
        <v>139</v>
      </c>
      <c r="G189" s="2" t="s">
        <v>40</v>
      </c>
      <c r="H189" s="7" t="s">
        <v>26</v>
      </c>
      <c r="I189" s="2" t="s">
        <v>27</v>
      </c>
      <c r="J189" s="2" t="s">
        <v>1138</v>
      </c>
      <c r="K189" s="2" t="s">
        <v>1139</v>
      </c>
      <c r="L189" s="2" t="s">
        <v>1140</v>
      </c>
      <c r="M189" s="2" t="s">
        <v>45</v>
      </c>
      <c r="N189" s="2" t="s">
        <v>32</v>
      </c>
      <c r="O189" s="2" t="s">
        <v>1141</v>
      </c>
      <c r="P189" s="2" t="s">
        <v>34</v>
      </c>
      <c r="Q189" s="2" t="s">
        <v>35</v>
      </c>
      <c r="R189" s="2" t="s">
        <v>35</v>
      </c>
      <c r="S189" s="2" t="s">
        <v>35</v>
      </c>
      <c r="T189" s="2" t="s">
        <v>35</v>
      </c>
    </row>
    <row r="190" ht="72" hidden="1" spans="1:20">
      <c r="A190" s="2" t="s">
        <v>1142</v>
      </c>
      <c r="B190" s="2" t="s">
        <v>1143</v>
      </c>
      <c r="C190" s="2" t="s">
        <v>1144</v>
      </c>
      <c r="D190" s="2" t="s">
        <v>1145</v>
      </c>
      <c r="E190" s="2" t="s">
        <v>39</v>
      </c>
      <c r="F190" s="2" t="s">
        <v>24</v>
      </c>
      <c r="G190" s="2" t="s">
        <v>140</v>
      </c>
      <c r="H190" s="9" t="s">
        <v>66</v>
      </c>
      <c r="I190" s="2" t="s">
        <v>1146</v>
      </c>
      <c r="J190" s="2" t="s">
        <v>1147</v>
      </c>
      <c r="K190" s="2" t="s">
        <v>1148</v>
      </c>
      <c r="L190" s="2" t="s">
        <v>1149</v>
      </c>
      <c r="M190" s="2" t="s">
        <v>45</v>
      </c>
      <c r="N190" s="2" t="s">
        <v>32</v>
      </c>
      <c r="O190" s="2" t="s">
        <v>1150</v>
      </c>
      <c r="P190" s="10" t="s">
        <v>1151</v>
      </c>
      <c r="Q190" s="2" t="s">
        <v>35</v>
      </c>
      <c r="R190" s="2" t="s">
        <v>35</v>
      </c>
      <c r="S190" s="2" t="s">
        <v>35</v>
      </c>
      <c r="T190" s="2" t="s">
        <v>35</v>
      </c>
    </row>
    <row r="191" ht="57.6" hidden="1" spans="1:20">
      <c r="A191" s="2" t="s">
        <v>1152</v>
      </c>
      <c r="B191" s="2" t="s">
        <v>1143</v>
      </c>
      <c r="C191" s="2" t="s">
        <v>1153</v>
      </c>
      <c r="D191" s="2" t="s">
        <v>1154</v>
      </c>
      <c r="E191" s="2" t="s">
        <v>39</v>
      </c>
      <c r="F191" s="2" t="s">
        <v>24</v>
      </c>
      <c r="G191" s="2" t="s">
        <v>40</v>
      </c>
      <c r="H191" s="9" t="s">
        <v>66</v>
      </c>
      <c r="I191" s="2" t="s">
        <v>1155</v>
      </c>
      <c r="J191" s="2" t="s">
        <v>1156</v>
      </c>
      <c r="K191" s="2" t="s">
        <v>1157</v>
      </c>
      <c r="L191" s="2" t="s">
        <v>1158</v>
      </c>
      <c r="M191" s="2" t="s">
        <v>45</v>
      </c>
      <c r="N191" s="2" t="s">
        <v>32</v>
      </c>
      <c r="O191" s="2" t="s">
        <v>1159</v>
      </c>
      <c r="P191" s="10" t="s">
        <v>1160</v>
      </c>
      <c r="Q191" s="2" t="s">
        <v>35</v>
      </c>
      <c r="R191" s="2" t="s">
        <v>35</v>
      </c>
      <c r="S191" s="2" t="s">
        <v>35</v>
      </c>
      <c r="T191" s="2" t="s">
        <v>35</v>
      </c>
    </row>
    <row r="192" ht="57.6" hidden="1" spans="1:20">
      <c r="A192" s="2" t="s">
        <v>1161</v>
      </c>
      <c r="B192" s="2" t="s">
        <v>1143</v>
      </c>
      <c r="C192" s="2" t="s">
        <v>1153</v>
      </c>
      <c r="D192" s="2" t="s">
        <v>1162</v>
      </c>
      <c r="E192" s="2" t="s">
        <v>39</v>
      </c>
      <c r="F192" s="2" t="s">
        <v>76</v>
      </c>
      <c r="G192" s="2" t="s">
        <v>77</v>
      </c>
      <c r="H192" s="8" t="s">
        <v>41</v>
      </c>
      <c r="I192" s="2" t="s">
        <v>1155</v>
      </c>
      <c r="J192" s="2" t="s">
        <v>1163</v>
      </c>
      <c r="K192" s="2" t="s">
        <v>1164</v>
      </c>
      <c r="L192" s="2" t="s">
        <v>1165</v>
      </c>
      <c r="M192" s="2" t="s">
        <v>45</v>
      </c>
      <c r="N192" s="2" t="s">
        <v>32</v>
      </c>
      <c r="O192" s="2" t="s">
        <v>1166</v>
      </c>
      <c r="P192" s="10" t="s">
        <v>1160</v>
      </c>
      <c r="Q192" s="2" t="s">
        <v>35</v>
      </c>
      <c r="R192" s="2" t="s">
        <v>35</v>
      </c>
      <c r="S192" s="2" t="s">
        <v>35</v>
      </c>
      <c r="T192" s="2" t="s">
        <v>35</v>
      </c>
    </row>
    <row r="193" ht="86.4" hidden="1" spans="1:20">
      <c r="A193" s="2" t="s">
        <v>1167</v>
      </c>
      <c r="B193" s="2" t="s">
        <v>1143</v>
      </c>
      <c r="C193" s="2" t="s">
        <v>1153</v>
      </c>
      <c r="D193" s="2" t="s">
        <v>1168</v>
      </c>
      <c r="E193" s="2" t="s">
        <v>39</v>
      </c>
      <c r="F193" s="2" t="s">
        <v>76</v>
      </c>
      <c r="G193" s="2" t="s">
        <v>77</v>
      </c>
      <c r="H193" s="8" t="s">
        <v>41</v>
      </c>
      <c r="I193" s="2" t="s">
        <v>1169</v>
      </c>
      <c r="J193" s="2" t="s">
        <v>1170</v>
      </c>
      <c r="K193" s="2" t="s">
        <v>1171</v>
      </c>
      <c r="L193" s="2" t="s">
        <v>1172</v>
      </c>
      <c r="M193" s="2" t="s">
        <v>45</v>
      </c>
      <c r="N193" s="2" t="s">
        <v>32</v>
      </c>
      <c r="O193" s="2" t="s">
        <v>1173</v>
      </c>
      <c r="P193" s="10" t="s">
        <v>1174</v>
      </c>
      <c r="Q193" s="2" t="s">
        <v>35</v>
      </c>
      <c r="R193" s="2" t="s">
        <v>35</v>
      </c>
      <c r="S193" s="2" t="s">
        <v>35</v>
      </c>
      <c r="T193" s="2" t="s">
        <v>35</v>
      </c>
    </row>
    <row r="194" ht="86.4" hidden="1" spans="1:20">
      <c r="A194" s="2" t="s">
        <v>1175</v>
      </c>
      <c r="B194" s="2" t="s">
        <v>1143</v>
      </c>
      <c r="C194" s="2" t="s">
        <v>1153</v>
      </c>
      <c r="D194" s="2" t="s">
        <v>1176</v>
      </c>
      <c r="E194" s="2" t="s">
        <v>39</v>
      </c>
      <c r="F194" s="2" t="s">
        <v>76</v>
      </c>
      <c r="G194" s="2" t="s">
        <v>77</v>
      </c>
      <c r="H194" s="9" t="s">
        <v>66</v>
      </c>
      <c r="I194" s="2" t="s">
        <v>1169</v>
      </c>
      <c r="J194" s="2" t="s">
        <v>1177</v>
      </c>
      <c r="K194" s="2" t="s">
        <v>1171</v>
      </c>
      <c r="L194" s="2" t="s">
        <v>1178</v>
      </c>
      <c r="M194" s="2" t="s">
        <v>45</v>
      </c>
      <c r="N194" s="2" t="s">
        <v>32</v>
      </c>
      <c r="O194" s="2" t="s">
        <v>1179</v>
      </c>
      <c r="P194" s="10" t="s">
        <v>1180</v>
      </c>
      <c r="Q194" s="2" t="s">
        <v>35</v>
      </c>
      <c r="R194" s="2" t="s">
        <v>35</v>
      </c>
      <c r="S194" s="2" t="s">
        <v>35</v>
      </c>
      <c r="T194" s="2" t="s">
        <v>35</v>
      </c>
    </row>
    <row r="195" ht="86.4" hidden="1" spans="1:20">
      <c r="A195" s="2" t="s">
        <v>1181</v>
      </c>
      <c r="B195" s="2" t="s">
        <v>1143</v>
      </c>
      <c r="C195" s="2" t="s">
        <v>1153</v>
      </c>
      <c r="D195" s="2" t="s">
        <v>1182</v>
      </c>
      <c r="E195" s="2" t="s">
        <v>39</v>
      </c>
      <c r="F195" s="2" t="s">
        <v>24</v>
      </c>
      <c r="G195" s="2" t="s">
        <v>140</v>
      </c>
      <c r="H195" s="9" t="s">
        <v>66</v>
      </c>
      <c r="I195" s="2" t="s">
        <v>1169</v>
      </c>
      <c r="J195" s="2" t="s">
        <v>1183</v>
      </c>
      <c r="K195" s="2" t="s">
        <v>1184</v>
      </c>
      <c r="L195" s="2" t="s">
        <v>1185</v>
      </c>
      <c r="M195" s="2" t="s">
        <v>45</v>
      </c>
      <c r="N195" s="2" t="s">
        <v>32</v>
      </c>
      <c r="O195" s="2" t="s">
        <v>1186</v>
      </c>
      <c r="P195" s="10" t="s">
        <v>1180</v>
      </c>
      <c r="Q195" s="2" t="s">
        <v>35</v>
      </c>
      <c r="R195" s="2" t="s">
        <v>35</v>
      </c>
      <c r="S195" s="2" t="s">
        <v>35</v>
      </c>
      <c r="T195" s="2" t="s">
        <v>35</v>
      </c>
    </row>
    <row r="196" ht="86.4" hidden="1" spans="1:20">
      <c r="A196" s="2" t="s">
        <v>1187</v>
      </c>
      <c r="B196" s="2" t="s">
        <v>1143</v>
      </c>
      <c r="C196" s="2" t="s">
        <v>1153</v>
      </c>
      <c r="D196" s="2" t="s">
        <v>1188</v>
      </c>
      <c r="E196" s="2" t="s">
        <v>39</v>
      </c>
      <c r="F196" s="2" t="s">
        <v>24</v>
      </c>
      <c r="G196" s="2" t="s">
        <v>140</v>
      </c>
      <c r="H196" s="9" t="s">
        <v>66</v>
      </c>
      <c r="I196" s="2" t="s">
        <v>1189</v>
      </c>
      <c r="J196" s="2" t="s">
        <v>1190</v>
      </c>
      <c r="K196" s="2" t="s">
        <v>1184</v>
      </c>
      <c r="L196" s="2" t="s">
        <v>1191</v>
      </c>
      <c r="M196" s="2" t="s">
        <v>45</v>
      </c>
      <c r="N196" s="2" t="s">
        <v>32</v>
      </c>
      <c r="O196" s="2" t="s">
        <v>1192</v>
      </c>
      <c r="P196" s="10" t="s">
        <v>1180</v>
      </c>
      <c r="Q196" s="2" t="s">
        <v>35</v>
      </c>
      <c r="R196" s="2" t="s">
        <v>35</v>
      </c>
      <c r="S196" s="2" t="s">
        <v>35</v>
      </c>
      <c r="T196" s="2" t="s">
        <v>35</v>
      </c>
    </row>
    <row r="197" ht="86.4" hidden="1" spans="1:20">
      <c r="A197" s="2" t="s">
        <v>1193</v>
      </c>
      <c r="B197" s="2" t="s">
        <v>1143</v>
      </c>
      <c r="C197" s="2" t="s">
        <v>1153</v>
      </c>
      <c r="D197" s="2" t="s">
        <v>1194</v>
      </c>
      <c r="E197" s="2" t="s">
        <v>39</v>
      </c>
      <c r="F197" s="2" t="s">
        <v>139</v>
      </c>
      <c r="G197" s="2" t="s">
        <v>105</v>
      </c>
      <c r="H197" s="8" t="s">
        <v>41</v>
      </c>
      <c r="I197" s="2" t="s">
        <v>1195</v>
      </c>
      <c r="J197" s="2" t="s">
        <v>1196</v>
      </c>
      <c r="K197" s="2" t="s">
        <v>1197</v>
      </c>
      <c r="L197" s="2" t="s">
        <v>1198</v>
      </c>
      <c r="M197" s="2" t="s">
        <v>45</v>
      </c>
      <c r="N197" s="2" t="s">
        <v>32</v>
      </c>
      <c r="O197" s="2" t="s">
        <v>1199</v>
      </c>
      <c r="P197" s="10" t="s">
        <v>1180</v>
      </c>
      <c r="Q197" s="2" t="s">
        <v>35</v>
      </c>
      <c r="R197" s="2" t="s">
        <v>35</v>
      </c>
      <c r="S197" s="2" t="s">
        <v>35</v>
      </c>
      <c r="T197" s="2" t="s">
        <v>35</v>
      </c>
    </row>
    <row r="198" ht="86.4" hidden="1" spans="1:20">
      <c r="A198" s="2" t="s">
        <v>1200</v>
      </c>
      <c r="B198" s="2" t="s">
        <v>1143</v>
      </c>
      <c r="C198" s="2" t="s">
        <v>1201</v>
      </c>
      <c r="D198" s="2" t="s">
        <v>1202</v>
      </c>
      <c r="E198" s="2" t="s">
        <v>39</v>
      </c>
      <c r="F198" s="2" t="s">
        <v>139</v>
      </c>
      <c r="G198" s="2" t="s">
        <v>140</v>
      </c>
      <c r="H198" s="8" t="s">
        <v>41</v>
      </c>
      <c r="I198" s="2" t="s">
        <v>1169</v>
      </c>
      <c r="J198" s="2" t="s">
        <v>1203</v>
      </c>
      <c r="K198" s="2" t="s">
        <v>1204</v>
      </c>
      <c r="L198" s="2" t="s">
        <v>1205</v>
      </c>
      <c r="M198" s="2" t="s">
        <v>45</v>
      </c>
      <c r="N198" s="2" t="s">
        <v>32</v>
      </c>
      <c r="O198" s="2" t="s">
        <v>1206</v>
      </c>
      <c r="P198" s="10" t="s">
        <v>1180</v>
      </c>
      <c r="Q198" s="2" t="s">
        <v>35</v>
      </c>
      <c r="R198" s="2" t="s">
        <v>35</v>
      </c>
      <c r="S198" s="2" t="s">
        <v>35</v>
      </c>
      <c r="T198" s="2" t="s">
        <v>35</v>
      </c>
    </row>
    <row r="199" ht="100.8" hidden="1" spans="1:20">
      <c r="A199" s="2" t="s">
        <v>1207</v>
      </c>
      <c r="B199" s="2" t="s">
        <v>1143</v>
      </c>
      <c r="C199" s="2" t="s">
        <v>1208</v>
      </c>
      <c r="D199" s="2" t="s">
        <v>1209</v>
      </c>
      <c r="E199" s="2" t="s">
        <v>39</v>
      </c>
      <c r="F199" s="2" t="s">
        <v>24</v>
      </c>
      <c r="G199" s="2" t="s">
        <v>140</v>
      </c>
      <c r="H199" s="9" t="s">
        <v>66</v>
      </c>
      <c r="I199" s="2" t="s">
        <v>1210</v>
      </c>
      <c r="J199" s="2" t="s">
        <v>1211</v>
      </c>
      <c r="K199" s="2" t="s">
        <v>1212</v>
      </c>
      <c r="L199" s="2" t="s">
        <v>1213</v>
      </c>
      <c r="M199" s="2" t="s">
        <v>45</v>
      </c>
      <c r="N199" s="2" t="s">
        <v>32</v>
      </c>
      <c r="O199" s="2" t="s">
        <v>1214</v>
      </c>
      <c r="P199" s="10" t="s">
        <v>1180</v>
      </c>
      <c r="Q199" s="2" t="s">
        <v>35</v>
      </c>
      <c r="R199" s="2" t="s">
        <v>35</v>
      </c>
      <c r="S199" s="2" t="s">
        <v>35</v>
      </c>
      <c r="T199" s="2" t="s">
        <v>35</v>
      </c>
    </row>
    <row r="200" ht="72" hidden="1" spans="1:20">
      <c r="A200" s="2" t="s">
        <v>1215</v>
      </c>
      <c r="B200" s="2" t="s">
        <v>1143</v>
      </c>
      <c r="C200" s="2" t="s">
        <v>1208</v>
      </c>
      <c r="D200" s="2" t="s">
        <v>1216</v>
      </c>
      <c r="E200" s="2" t="s">
        <v>39</v>
      </c>
      <c r="F200" s="2" t="s">
        <v>139</v>
      </c>
      <c r="G200" s="2" t="s">
        <v>140</v>
      </c>
      <c r="H200" s="7" t="s">
        <v>26</v>
      </c>
      <c r="I200" s="2" t="s">
        <v>1217</v>
      </c>
      <c r="J200" s="2" t="s">
        <v>1218</v>
      </c>
      <c r="K200" s="2" t="s">
        <v>1219</v>
      </c>
      <c r="L200" s="2" t="s">
        <v>1220</v>
      </c>
      <c r="M200" s="2" t="s">
        <v>45</v>
      </c>
      <c r="N200" s="2" t="s">
        <v>32</v>
      </c>
      <c r="O200" s="2" t="s">
        <v>1221</v>
      </c>
      <c r="P200" s="10" t="s">
        <v>1222</v>
      </c>
      <c r="Q200" s="2" t="s">
        <v>35</v>
      </c>
      <c r="R200" s="2" t="s">
        <v>35</v>
      </c>
      <c r="S200" s="2" t="s">
        <v>35</v>
      </c>
      <c r="T200" s="2" t="s">
        <v>35</v>
      </c>
    </row>
    <row r="201" ht="72" hidden="1" spans="1:20">
      <c r="A201" s="2" t="s">
        <v>1223</v>
      </c>
      <c r="B201" s="2" t="s">
        <v>1143</v>
      </c>
      <c r="C201" s="2" t="s">
        <v>1224</v>
      </c>
      <c r="D201" s="2" t="s">
        <v>1225</v>
      </c>
      <c r="E201" s="2" t="s">
        <v>39</v>
      </c>
      <c r="F201" s="2" t="s">
        <v>163</v>
      </c>
      <c r="G201" s="2" t="s">
        <v>140</v>
      </c>
      <c r="H201" s="9" t="s">
        <v>66</v>
      </c>
      <c r="I201" s="2" t="s">
        <v>1226</v>
      </c>
      <c r="J201" s="2" t="s">
        <v>1227</v>
      </c>
      <c r="K201" s="2" t="s">
        <v>1228</v>
      </c>
      <c r="L201" s="2" t="s">
        <v>1229</v>
      </c>
      <c r="M201" s="2" t="s">
        <v>45</v>
      </c>
      <c r="N201" s="2" t="s">
        <v>32</v>
      </c>
      <c r="O201" s="2" t="s">
        <v>1230</v>
      </c>
      <c r="P201" s="10" t="s">
        <v>1151</v>
      </c>
      <c r="Q201" s="2" t="s">
        <v>35</v>
      </c>
      <c r="R201" s="2" t="s">
        <v>35</v>
      </c>
      <c r="S201" s="2" t="s">
        <v>35</v>
      </c>
      <c r="T201" s="2" t="s">
        <v>35</v>
      </c>
    </row>
    <row r="202" ht="72" hidden="1" spans="1:20">
      <c r="A202" s="2" t="s">
        <v>1231</v>
      </c>
      <c r="B202" s="2" t="s">
        <v>1143</v>
      </c>
      <c r="C202" s="2" t="s">
        <v>1208</v>
      </c>
      <c r="D202" s="2" t="s">
        <v>1232</v>
      </c>
      <c r="E202" s="2" t="s">
        <v>39</v>
      </c>
      <c r="F202" s="2" t="s">
        <v>139</v>
      </c>
      <c r="G202" s="2" t="s">
        <v>324</v>
      </c>
      <c r="H202" s="9" t="s">
        <v>66</v>
      </c>
      <c r="I202" s="2" t="s">
        <v>1146</v>
      </c>
      <c r="J202" s="2" t="s">
        <v>1233</v>
      </c>
      <c r="K202" s="2" t="s">
        <v>1234</v>
      </c>
      <c r="L202" s="2" t="s">
        <v>1235</v>
      </c>
      <c r="M202" s="2" t="s">
        <v>45</v>
      </c>
      <c r="N202" s="2" t="s">
        <v>32</v>
      </c>
      <c r="O202" s="2" t="s">
        <v>1236</v>
      </c>
      <c r="P202" s="10" t="s">
        <v>1151</v>
      </c>
      <c r="Q202" s="2" t="s">
        <v>35</v>
      </c>
      <c r="R202" s="2" t="s">
        <v>35</v>
      </c>
      <c r="S202" s="2" t="s">
        <v>35</v>
      </c>
      <c r="T202" s="2" t="s">
        <v>35</v>
      </c>
    </row>
    <row r="203" ht="72" hidden="1" spans="1:20">
      <c r="A203" s="2" t="s">
        <v>1237</v>
      </c>
      <c r="B203" s="2" t="s">
        <v>1143</v>
      </c>
      <c r="C203" s="2" t="s">
        <v>1208</v>
      </c>
      <c r="D203" s="2" t="s">
        <v>1238</v>
      </c>
      <c r="E203" s="2" t="s">
        <v>39</v>
      </c>
      <c r="F203" s="2" t="s">
        <v>139</v>
      </c>
      <c r="G203" s="2" t="s">
        <v>140</v>
      </c>
      <c r="H203" s="8" t="s">
        <v>41</v>
      </c>
      <c r="I203" s="2" t="s">
        <v>1239</v>
      </c>
      <c r="J203" s="2" t="s">
        <v>1240</v>
      </c>
      <c r="K203" s="2" t="s">
        <v>1241</v>
      </c>
      <c r="L203" s="2" t="s">
        <v>1242</v>
      </c>
      <c r="M203" s="2" t="s">
        <v>45</v>
      </c>
      <c r="N203" s="2" t="s">
        <v>32</v>
      </c>
      <c r="O203" s="2" t="s">
        <v>1236</v>
      </c>
      <c r="P203" s="10" t="s">
        <v>1151</v>
      </c>
      <c r="Q203" s="2" t="s">
        <v>35</v>
      </c>
      <c r="R203" s="2" t="s">
        <v>35</v>
      </c>
      <c r="S203" s="2" t="s">
        <v>35</v>
      </c>
      <c r="T203" s="2" t="s">
        <v>35</v>
      </c>
    </row>
    <row r="204" ht="72" hidden="1" spans="1:20">
      <c r="A204" s="2" t="s">
        <v>1243</v>
      </c>
      <c r="B204" s="2" t="s">
        <v>1143</v>
      </c>
      <c r="C204" s="2" t="s">
        <v>1244</v>
      </c>
      <c r="D204" s="2" t="s">
        <v>1245</v>
      </c>
      <c r="E204" s="2" t="s">
        <v>39</v>
      </c>
      <c r="F204" s="2" t="s">
        <v>24</v>
      </c>
      <c r="G204" s="2" t="s">
        <v>140</v>
      </c>
      <c r="H204" s="9" t="s">
        <v>66</v>
      </c>
      <c r="I204" s="2" t="s">
        <v>1146</v>
      </c>
      <c r="J204" s="2" t="s">
        <v>1246</v>
      </c>
      <c r="K204" s="2" t="s">
        <v>1247</v>
      </c>
      <c r="L204" s="2" t="s">
        <v>1248</v>
      </c>
      <c r="M204" s="2" t="s">
        <v>45</v>
      </c>
      <c r="N204" s="2" t="s">
        <v>32</v>
      </c>
      <c r="O204" s="2" t="s">
        <v>1249</v>
      </c>
      <c r="P204" s="10" t="s">
        <v>1151</v>
      </c>
      <c r="Q204" s="2" t="s">
        <v>35</v>
      </c>
      <c r="R204" s="2" t="s">
        <v>35</v>
      </c>
      <c r="S204" s="2" t="s">
        <v>35</v>
      </c>
      <c r="T204" s="2" t="s">
        <v>35</v>
      </c>
    </row>
    <row r="205" ht="72" hidden="1" spans="1:20">
      <c r="A205" s="2" t="s">
        <v>1250</v>
      </c>
      <c r="B205" s="2" t="s">
        <v>1143</v>
      </c>
      <c r="C205" s="2" t="s">
        <v>1251</v>
      </c>
      <c r="D205" s="2" t="s">
        <v>1252</v>
      </c>
      <c r="E205" s="2" t="s">
        <v>39</v>
      </c>
      <c r="F205" s="2" t="s">
        <v>24</v>
      </c>
      <c r="G205" s="2" t="s">
        <v>140</v>
      </c>
      <c r="H205" s="9" t="s">
        <v>66</v>
      </c>
      <c r="I205" s="2" t="s">
        <v>1146</v>
      </c>
      <c r="J205" s="2" t="s">
        <v>1253</v>
      </c>
      <c r="K205" s="2" t="s">
        <v>1247</v>
      </c>
      <c r="L205" s="2" t="s">
        <v>1254</v>
      </c>
      <c r="M205" s="2" t="s">
        <v>45</v>
      </c>
      <c r="N205" s="2" t="s">
        <v>32</v>
      </c>
      <c r="O205" s="2" t="s">
        <v>1255</v>
      </c>
      <c r="P205" s="10" t="s">
        <v>1151</v>
      </c>
      <c r="Q205" s="2" t="s">
        <v>35</v>
      </c>
      <c r="R205" s="2" t="s">
        <v>35</v>
      </c>
      <c r="S205" s="2" t="s">
        <v>35</v>
      </c>
      <c r="T205" s="2" t="s">
        <v>35</v>
      </c>
    </row>
    <row r="206" ht="72" hidden="1" spans="1:20">
      <c r="A206" s="2" t="s">
        <v>1256</v>
      </c>
      <c r="B206" s="2" t="s">
        <v>1143</v>
      </c>
      <c r="C206" s="2" t="s">
        <v>1251</v>
      </c>
      <c r="D206" s="2" t="s">
        <v>1257</v>
      </c>
      <c r="E206" s="2" t="s">
        <v>39</v>
      </c>
      <c r="F206" s="2" t="s">
        <v>24</v>
      </c>
      <c r="G206" s="2" t="s">
        <v>140</v>
      </c>
      <c r="H206" s="9" t="s">
        <v>66</v>
      </c>
      <c r="I206" s="2" t="s">
        <v>1146</v>
      </c>
      <c r="J206" s="2" t="s">
        <v>1258</v>
      </c>
      <c r="K206" s="2" t="s">
        <v>1259</v>
      </c>
      <c r="L206" s="2" t="s">
        <v>1260</v>
      </c>
      <c r="M206" s="2" t="s">
        <v>45</v>
      </c>
      <c r="N206" s="2" t="s">
        <v>32</v>
      </c>
      <c r="O206" s="2" t="s">
        <v>1261</v>
      </c>
      <c r="P206" s="10" t="s">
        <v>1151</v>
      </c>
      <c r="Q206" s="2" t="s">
        <v>35</v>
      </c>
      <c r="R206" s="2" t="s">
        <v>35</v>
      </c>
      <c r="S206" s="2" t="s">
        <v>35</v>
      </c>
      <c r="T206" s="2" t="s">
        <v>35</v>
      </c>
    </row>
    <row r="207" ht="72" hidden="1" spans="1:20">
      <c r="A207" s="2" t="s">
        <v>1262</v>
      </c>
      <c r="B207" s="2" t="s">
        <v>1143</v>
      </c>
      <c r="C207" s="2" t="s">
        <v>1251</v>
      </c>
      <c r="D207" s="2" t="s">
        <v>1263</v>
      </c>
      <c r="E207" s="2" t="s">
        <v>39</v>
      </c>
      <c r="F207" s="2" t="s">
        <v>24</v>
      </c>
      <c r="G207" s="2" t="s">
        <v>140</v>
      </c>
      <c r="H207" s="9" t="s">
        <v>66</v>
      </c>
      <c r="I207" s="2" t="s">
        <v>1146</v>
      </c>
      <c r="J207" s="2" t="s">
        <v>1264</v>
      </c>
      <c r="K207" s="2" t="s">
        <v>1259</v>
      </c>
      <c r="L207" s="2" t="s">
        <v>1265</v>
      </c>
      <c r="M207" s="2" t="s">
        <v>45</v>
      </c>
      <c r="N207" s="2" t="s">
        <v>32</v>
      </c>
      <c r="O207" s="2" t="s">
        <v>1266</v>
      </c>
      <c r="P207" s="10" t="s">
        <v>1151</v>
      </c>
      <c r="Q207" s="2" t="s">
        <v>35</v>
      </c>
      <c r="R207" s="2" t="s">
        <v>35</v>
      </c>
      <c r="S207" s="2" t="s">
        <v>35</v>
      </c>
      <c r="T207" s="2" t="s">
        <v>35</v>
      </c>
    </row>
    <row r="208" ht="72" hidden="1" spans="1:20">
      <c r="A208" s="2" t="s">
        <v>1267</v>
      </c>
      <c r="B208" s="2" t="s">
        <v>1143</v>
      </c>
      <c r="C208" s="2" t="s">
        <v>1251</v>
      </c>
      <c r="D208" s="2" t="s">
        <v>1268</v>
      </c>
      <c r="E208" s="2" t="s">
        <v>39</v>
      </c>
      <c r="F208" s="2" t="s">
        <v>24</v>
      </c>
      <c r="G208" s="2" t="s">
        <v>140</v>
      </c>
      <c r="H208" s="9" t="s">
        <v>66</v>
      </c>
      <c r="I208" s="2" t="s">
        <v>1146</v>
      </c>
      <c r="J208" s="2" t="s">
        <v>1269</v>
      </c>
      <c r="K208" s="2" t="s">
        <v>1259</v>
      </c>
      <c r="L208" s="2" t="s">
        <v>1270</v>
      </c>
      <c r="M208" s="2" t="s">
        <v>45</v>
      </c>
      <c r="N208" s="2" t="s">
        <v>32</v>
      </c>
      <c r="O208" s="2" t="s">
        <v>1271</v>
      </c>
      <c r="P208" s="10" t="s">
        <v>1151</v>
      </c>
      <c r="Q208" s="2" t="s">
        <v>35</v>
      </c>
      <c r="R208" s="2" t="s">
        <v>35</v>
      </c>
      <c r="S208" s="2" t="s">
        <v>35</v>
      </c>
      <c r="T208" s="2" t="s">
        <v>35</v>
      </c>
    </row>
    <row r="209" ht="72" hidden="1" spans="1:20">
      <c r="A209" s="2" t="s">
        <v>1272</v>
      </c>
      <c r="B209" s="2" t="s">
        <v>1143</v>
      </c>
      <c r="C209" s="2" t="s">
        <v>1251</v>
      </c>
      <c r="D209" s="2" t="s">
        <v>1273</v>
      </c>
      <c r="E209" s="2" t="s">
        <v>39</v>
      </c>
      <c r="F209" s="2" t="s">
        <v>24</v>
      </c>
      <c r="G209" s="2" t="s">
        <v>140</v>
      </c>
      <c r="H209" s="9" t="s">
        <v>66</v>
      </c>
      <c r="I209" s="2" t="s">
        <v>1146</v>
      </c>
      <c r="J209" s="2" t="s">
        <v>1274</v>
      </c>
      <c r="K209" s="2" t="s">
        <v>1259</v>
      </c>
      <c r="L209" s="2" t="s">
        <v>1275</v>
      </c>
      <c r="M209" s="2" t="s">
        <v>45</v>
      </c>
      <c r="N209" s="2" t="s">
        <v>32</v>
      </c>
      <c r="O209" s="2" t="s">
        <v>1276</v>
      </c>
      <c r="P209" s="10" t="s">
        <v>1151</v>
      </c>
      <c r="Q209" s="2" t="s">
        <v>35</v>
      </c>
      <c r="R209" s="2" t="s">
        <v>35</v>
      </c>
      <c r="S209" s="2" t="s">
        <v>35</v>
      </c>
      <c r="T209" s="2" t="s">
        <v>35</v>
      </c>
    </row>
    <row r="210" ht="72" hidden="1" spans="1:20">
      <c r="A210" s="2" t="s">
        <v>1277</v>
      </c>
      <c r="B210" s="2" t="s">
        <v>1143</v>
      </c>
      <c r="C210" s="2" t="s">
        <v>1251</v>
      </c>
      <c r="D210" s="2" t="s">
        <v>1278</v>
      </c>
      <c r="E210" s="2" t="s">
        <v>39</v>
      </c>
      <c r="F210" s="2" t="s">
        <v>24</v>
      </c>
      <c r="G210" s="2" t="s">
        <v>140</v>
      </c>
      <c r="H210" s="9" t="s">
        <v>66</v>
      </c>
      <c r="I210" s="2" t="s">
        <v>1146</v>
      </c>
      <c r="J210" s="2" t="s">
        <v>1279</v>
      </c>
      <c r="K210" s="2" t="s">
        <v>1247</v>
      </c>
      <c r="L210" s="2" t="s">
        <v>1280</v>
      </c>
      <c r="M210" s="2" t="s">
        <v>45</v>
      </c>
      <c r="N210" s="2" t="s">
        <v>32</v>
      </c>
      <c r="O210" s="2" t="s">
        <v>1281</v>
      </c>
      <c r="P210" s="10" t="s">
        <v>1151</v>
      </c>
      <c r="Q210" s="2" t="s">
        <v>35</v>
      </c>
      <c r="R210" s="2" t="s">
        <v>35</v>
      </c>
      <c r="S210" s="2" t="s">
        <v>35</v>
      </c>
      <c r="T210" s="2" t="s">
        <v>35</v>
      </c>
    </row>
    <row r="211" ht="72" hidden="1" spans="1:20">
      <c r="A211" s="2" t="s">
        <v>1282</v>
      </c>
      <c r="B211" s="2" t="s">
        <v>1143</v>
      </c>
      <c r="C211" s="2" t="s">
        <v>1251</v>
      </c>
      <c r="D211" s="2" t="s">
        <v>1283</v>
      </c>
      <c r="E211" s="2" t="s">
        <v>39</v>
      </c>
      <c r="F211" s="2" t="s">
        <v>24</v>
      </c>
      <c r="G211" s="2" t="s">
        <v>140</v>
      </c>
      <c r="H211" s="9" t="s">
        <v>66</v>
      </c>
      <c r="I211" s="2" t="s">
        <v>1146</v>
      </c>
      <c r="J211" s="2" t="s">
        <v>1284</v>
      </c>
      <c r="K211" s="2" t="s">
        <v>1247</v>
      </c>
      <c r="L211" s="2" t="s">
        <v>1285</v>
      </c>
      <c r="M211" s="2" t="s">
        <v>45</v>
      </c>
      <c r="N211" s="2" t="s">
        <v>32</v>
      </c>
      <c r="O211" s="2" t="s">
        <v>1286</v>
      </c>
      <c r="P211" s="10" t="s">
        <v>1151</v>
      </c>
      <c r="Q211" s="2" t="s">
        <v>35</v>
      </c>
      <c r="R211" s="2" t="s">
        <v>35</v>
      </c>
      <c r="S211" s="2" t="s">
        <v>35</v>
      </c>
      <c r="T211" s="2" t="s">
        <v>35</v>
      </c>
    </row>
    <row r="212" ht="72" hidden="1" spans="1:20">
      <c r="A212" s="2" t="s">
        <v>1287</v>
      </c>
      <c r="B212" s="2" t="s">
        <v>1143</v>
      </c>
      <c r="C212" s="2" t="s">
        <v>1251</v>
      </c>
      <c r="D212" s="2" t="s">
        <v>1288</v>
      </c>
      <c r="E212" s="2" t="s">
        <v>39</v>
      </c>
      <c r="F212" s="2" t="s">
        <v>24</v>
      </c>
      <c r="G212" s="2" t="s">
        <v>140</v>
      </c>
      <c r="H212" s="8" t="s">
        <v>41</v>
      </c>
      <c r="I212" s="2" t="s">
        <v>1146</v>
      </c>
      <c r="J212" s="2" t="s">
        <v>1289</v>
      </c>
      <c r="K212" s="2" t="s">
        <v>1247</v>
      </c>
      <c r="L212" s="2" t="s">
        <v>1290</v>
      </c>
      <c r="M212" s="2" t="s">
        <v>45</v>
      </c>
      <c r="N212" s="2" t="s">
        <v>32</v>
      </c>
      <c r="O212" s="2" t="s">
        <v>1291</v>
      </c>
      <c r="P212" s="10" t="s">
        <v>1151</v>
      </c>
      <c r="Q212" s="2" t="s">
        <v>35</v>
      </c>
      <c r="R212" s="2" t="s">
        <v>35</v>
      </c>
      <c r="S212" s="2" t="s">
        <v>35</v>
      </c>
      <c r="T212" s="2" t="s">
        <v>35</v>
      </c>
    </row>
    <row r="213" ht="72" hidden="1" spans="1:20">
      <c r="A213" s="2" t="s">
        <v>1292</v>
      </c>
      <c r="B213" s="2" t="s">
        <v>1143</v>
      </c>
      <c r="C213" s="2" t="s">
        <v>1251</v>
      </c>
      <c r="D213" s="2" t="s">
        <v>1293</v>
      </c>
      <c r="E213" s="2" t="s">
        <v>39</v>
      </c>
      <c r="F213" s="2" t="s">
        <v>24</v>
      </c>
      <c r="G213" s="2" t="s">
        <v>140</v>
      </c>
      <c r="H213" s="8" t="s">
        <v>41</v>
      </c>
      <c r="I213" s="2" t="s">
        <v>1146</v>
      </c>
      <c r="J213" s="2" t="s">
        <v>1294</v>
      </c>
      <c r="K213" s="2" t="s">
        <v>1259</v>
      </c>
      <c r="L213" s="2" t="s">
        <v>1295</v>
      </c>
      <c r="M213" s="2" t="s">
        <v>45</v>
      </c>
      <c r="N213" s="2" t="s">
        <v>32</v>
      </c>
      <c r="O213" s="2" t="s">
        <v>1296</v>
      </c>
      <c r="P213" s="10" t="s">
        <v>1151</v>
      </c>
      <c r="Q213" s="2" t="s">
        <v>35</v>
      </c>
      <c r="R213" s="2" t="s">
        <v>35</v>
      </c>
      <c r="S213" s="2" t="s">
        <v>35</v>
      </c>
      <c r="T213" s="2" t="s">
        <v>35</v>
      </c>
    </row>
    <row r="214" ht="100.8" hidden="1" spans="1:20">
      <c r="A214" s="2" t="s">
        <v>1297</v>
      </c>
      <c r="B214" s="2" t="s">
        <v>1143</v>
      </c>
      <c r="C214" s="2" t="s">
        <v>1251</v>
      </c>
      <c r="D214" s="2" t="s">
        <v>1298</v>
      </c>
      <c r="E214" s="2" t="s">
        <v>39</v>
      </c>
      <c r="F214" s="2" t="s">
        <v>139</v>
      </c>
      <c r="G214" s="2" t="s">
        <v>140</v>
      </c>
      <c r="H214" s="9" t="s">
        <v>66</v>
      </c>
      <c r="I214" s="2" t="s">
        <v>1299</v>
      </c>
      <c r="J214" s="2" t="s">
        <v>1300</v>
      </c>
      <c r="K214" s="2" t="s">
        <v>1184</v>
      </c>
      <c r="L214" s="2" t="s">
        <v>1301</v>
      </c>
      <c r="M214" s="2" t="s">
        <v>45</v>
      </c>
      <c r="N214" s="2" t="s">
        <v>32</v>
      </c>
      <c r="O214" s="2" t="s">
        <v>1302</v>
      </c>
      <c r="P214" s="10" t="s">
        <v>1180</v>
      </c>
      <c r="Q214" s="2" t="s">
        <v>35</v>
      </c>
      <c r="R214" s="2" t="s">
        <v>35</v>
      </c>
      <c r="S214" s="2" t="s">
        <v>35</v>
      </c>
      <c r="T214" s="2" t="s">
        <v>35</v>
      </c>
    </row>
    <row r="215" ht="86.4" hidden="1" spans="1:20">
      <c r="A215" s="2" t="s">
        <v>1303</v>
      </c>
      <c r="B215" s="2" t="s">
        <v>1143</v>
      </c>
      <c r="C215" s="2" t="s">
        <v>1304</v>
      </c>
      <c r="D215" s="2" t="s">
        <v>1305</v>
      </c>
      <c r="E215" s="2" t="s">
        <v>39</v>
      </c>
      <c r="F215" s="2" t="s">
        <v>24</v>
      </c>
      <c r="G215" s="2" t="s">
        <v>40</v>
      </c>
      <c r="H215" s="9" t="s">
        <v>66</v>
      </c>
      <c r="I215" s="2" t="s">
        <v>1306</v>
      </c>
      <c r="J215" s="2" t="s">
        <v>1307</v>
      </c>
      <c r="K215" s="2" t="s">
        <v>1308</v>
      </c>
      <c r="L215" s="2" t="s">
        <v>1309</v>
      </c>
      <c r="M215" s="2" t="s">
        <v>45</v>
      </c>
      <c r="N215" s="2" t="s">
        <v>32</v>
      </c>
      <c r="O215" s="2" t="s">
        <v>1310</v>
      </c>
      <c r="P215" s="10" t="s">
        <v>1311</v>
      </c>
      <c r="Q215" s="2" t="s">
        <v>35</v>
      </c>
      <c r="R215" s="2" t="s">
        <v>35</v>
      </c>
      <c r="S215" s="2" t="s">
        <v>35</v>
      </c>
      <c r="T215" s="2" t="s">
        <v>35</v>
      </c>
    </row>
    <row r="216" ht="86.4" hidden="1" spans="1:20">
      <c r="A216" s="2" t="s">
        <v>1312</v>
      </c>
      <c r="B216" s="2" t="s">
        <v>1143</v>
      </c>
      <c r="C216" s="2" t="s">
        <v>1304</v>
      </c>
      <c r="D216" s="2" t="s">
        <v>1313</v>
      </c>
      <c r="E216" s="2" t="s">
        <v>39</v>
      </c>
      <c r="F216" s="2" t="s">
        <v>163</v>
      </c>
      <c r="G216" s="2" t="s">
        <v>40</v>
      </c>
      <c r="H216" s="8" t="s">
        <v>41</v>
      </c>
      <c r="I216" s="2" t="s">
        <v>1314</v>
      </c>
      <c r="J216" s="2" t="s">
        <v>1315</v>
      </c>
      <c r="K216" s="2" t="s">
        <v>1316</v>
      </c>
      <c r="L216" s="2" t="s">
        <v>1317</v>
      </c>
      <c r="M216" s="2" t="s">
        <v>45</v>
      </c>
      <c r="N216" s="2" t="s">
        <v>32</v>
      </c>
      <c r="O216" s="2" t="s">
        <v>1318</v>
      </c>
      <c r="P216" s="10" t="s">
        <v>1319</v>
      </c>
      <c r="Q216" s="2" t="s">
        <v>35</v>
      </c>
      <c r="R216" s="2" t="s">
        <v>35</v>
      </c>
      <c r="S216" s="2" t="s">
        <v>35</v>
      </c>
      <c r="T216" s="2" t="s">
        <v>35</v>
      </c>
    </row>
    <row r="217" ht="57.6" hidden="1" spans="1:20">
      <c r="A217" s="2" t="s">
        <v>1320</v>
      </c>
      <c r="B217" s="2" t="s">
        <v>1143</v>
      </c>
      <c r="C217" s="2" t="s">
        <v>1304</v>
      </c>
      <c r="D217" s="2" t="s">
        <v>1321</v>
      </c>
      <c r="E217" s="2" t="s">
        <v>39</v>
      </c>
      <c r="F217" s="2" t="s">
        <v>24</v>
      </c>
      <c r="G217" s="2" t="s">
        <v>40</v>
      </c>
      <c r="H217" s="8" t="s">
        <v>41</v>
      </c>
      <c r="I217" s="2" t="s">
        <v>1322</v>
      </c>
      <c r="J217" s="2" t="s">
        <v>1323</v>
      </c>
      <c r="K217" s="2" t="s">
        <v>1324</v>
      </c>
      <c r="L217" s="2" t="s">
        <v>1325</v>
      </c>
      <c r="M217" s="2" t="s">
        <v>45</v>
      </c>
      <c r="N217" s="2" t="s">
        <v>32</v>
      </c>
      <c r="O217" s="2" t="s">
        <v>1326</v>
      </c>
      <c r="P217" s="10" t="s">
        <v>1311</v>
      </c>
      <c r="Q217" s="2" t="s">
        <v>35</v>
      </c>
      <c r="R217" s="2" t="s">
        <v>35</v>
      </c>
      <c r="S217" s="2" t="s">
        <v>35</v>
      </c>
      <c r="T217" s="2" t="s">
        <v>35</v>
      </c>
    </row>
    <row r="218" ht="57.6" hidden="1" spans="1:20">
      <c r="A218" s="2" t="s">
        <v>1327</v>
      </c>
      <c r="B218" s="2" t="s">
        <v>1143</v>
      </c>
      <c r="C218" s="2" t="s">
        <v>1304</v>
      </c>
      <c r="D218" s="2" t="s">
        <v>1328</v>
      </c>
      <c r="E218" s="2" t="s">
        <v>39</v>
      </c>
      <c r="F218" s="2" t="s">
        <v>24</v>
      </c>
      <c r="G218" s="2" t="s">
        <v>40</v>
      </c>
      <c r="H218" s="7" t="s">
        <v>26</v>
      </c>
      <c r="I218" s="2" t="s">
        <v>1329</v>
      </c>
      <c r="J218" s="2" t="s">
        <v>1330</v>
      </c>
      <c r="K218" s="2" t="s">
        <v>1331</v>
      </c>
      <c r="L218" s="2" t="s">
        <v>1332</v>
      </c>
      <c r="M218" s="2" t="s">
        <v>45</v>
      </c>
      <c r="N218" s="2" t="s">
        <v>32</v>
      </c>
      <c r="O218" s="2" t="s">
        <v>1326</v>
      </c>
      <c r="P218" s="10" t="s">
        <v>1311</v>
      </c>
      <c r="Q218" s="2" t="s">
        <v>35</v>
      </c>
      <c r="R218" s="2" t="s">
        <v>35</v>
      </c>
      <c r="S218" s="2" t="s">
        <v>35</v>
      </c>
      <c r="T218" s="2" t="s">
        <v>35</v>
      </c>
    </row>
    <row r="219" ht="86.4" hidden="1" spans="1:20">
      <c r="A219" s="2" t="s">
        <v>1333</v>
      </c>
      <c r="B219" s="2" t="s">
        <v>1143</v>
      </c>
      <c r="C219" s="2" t="s">
        <v>1334</v>
      </c>
      <c r="D219" s="2" t="s">
        <v>1335</v>
      </c>
      <c r="E219" s="2" t="s">
        <v>104</v>
      </c>
      <c r="F219" s="2" t="s">
        <v>24</v>
      </c>
      <c r="G219" s="2" t="s">
        <v>40</v>
      </c>
      <c r="H219" s="8" t="s">
        <v>41</v>
      </c>
      <c r="I219" s="2" t="s">
        <v>1336</v>
      </c>
      <c r="J219" s="2" t="s">
        <v>1337</v>
      </c>
      <c r="K219" s="2" t="s">
        <v>1338</v>
      </c>
      <c r="L219" s="2" t="s">
        <v>1339</v>
      </c>
      <c r="M219" s="2" t="s">
        <v>45</v>
      </c>
      <c r="N219" s="2" t="s">
        <v>32</v>
      </c>
      <c r="O219" s="2" t="s">
        <v>1236</v>
      </c>
      <c r="P219" s="10" t="s">
        <v>1151</v>
      </c>
      <c r="Q219" s="2" t="s">
        <v>35</v>
      </c>
      <c r="R219" s="2" t="s">
        <v>35</v>
      </c>
      <c r="S219" s="2" t="s">
        <v>35</v>
      </c>
      <c r="T219" s="2" t="s">
        <v>35</v>
      </c>
    </row>
    <row r="220" ht="72" hidden="1" spans="1:20">
      <c r="A220" s="2" t="s">
        <v>1340</v>
      </c>
      <c r="B220" s="2" t="s">
        <v>1143</v>
      </c>
      <c r="C220" s="2" t="s">
        <v>1208</v>
      </c>
      <c r="D220" s="2" t="s">
        <v>1341</v>
      </c>
      <c r="E220" s="2" t="s">
        <v>39</v>
      </c>
      <c r="F220" s="2" t="s">
        <v>163</v>
      </c>
      <c r="G220" s="2" t="s">
        <v>140</v>
      </c>
      <c r="H220" s="9" t="s">
        <v>66</v>
      </c>
      <c r="I220" s="2" t="s">
        <v>1342</v>
      </c>
      <c r="J220" s="2" t="s">
        <v>1343</v>
      </c>
      <c r="K220" s="2" t="s">
        <v>1344</v>
      </c>
      <c r="L220" s="2" t="s">
        <v>1345</v>
      </c>
      <c r="M220" s="2" t="s">
        <v>45</v>
      </c>
      <c r="N220" s="2" t="s">
        <v>32</v>
      </c>
      <c r="O220" s="2" t="s">
        <v>1346</v>
      </c>
      <c r="P220" s="10" t="s">
        <v>1151</v>
      </c>
      <c r="Q220" s="2" t="s">
        <v>35</v>
      </c>
      <c r="R220" s="2" t="s">
        <v>35</v>
      </c>
      <c r="S220" s="2" t="s">
        <v>35</v>
      </c>
      <c r="T220" s="2" t="s">
        <v>35</v>
      </c>
    </row>
    <row r="221" ht="72" hidden="1" spans="1:20">
      <c r="A221" s="2" t="s">
        <v>1347</v>
      </c>
      <c r="B221" s="2" t="s">
        <v>1143</v>
      </c>
      <c r="C221" s="2" t="s">
        <v>1348</v>
      </c>
      <c r="D221" s="2" t="s">
        <v>1349</v>
      </c>
      <c r="E221" s="2" t="s">
        <v>39</v>
      </c>
      <c r="F221" s="2" t="s">
        <v>139</v>
      </c>
      <c r="G221" s="2" t="s">
        <v>140</v>
      </c>
      <c r="H221" s="8" t="s">
        <v>41</v>
      </c>
      <c r="I221" s="2" t="s">
        <v>1146</v>
      </c>
      <c r="J221" s="2" t="s">
        <v>1350</v>
      </c>
      <c r="K221" s="2" t="s">
        <v>1351</v>
      </c>
      <c r="L221" s="2" t="s">
        <v>1352</v>
      </c>
      <c r="M221" s="2" t="s">
        <v>45</v>
      </c>
      <c r="N221" s="2" t="s">
        <v>32</v>
      </c>
      <c r="O221" s="2" t="s">
        <v>1353</v>
      </c>
      <c r="P221" s="10" t="s">
        <v>1151</v>
      </c>
      <c r="Q221" s="2" t="s">
        <v>35</v>
      </c>
      <c r="R221" s="2" t="s">
        <v>35</v>
      </c>
      <c r="S221" s="2" t="s">
        <v>35</v>
      </c>
      <c r="T221" s="2" t="s">
        <v>35</v>
      </c>
    </row>
    <row r="222" ht="57.6" hidden="1" spans="1:20">
      <c r="A222" s="2" t="s">
        <v>1354</v>
      </c>
      <c r="B222" s="2" t="s">
        <v>1355</v>
      </c>
      <c r="C222" s="2" t="s">
        <v>1356</v>
      </c>
      <c r="D222" s="2" t="s">
        <v>1357</v>
      </c>
      <c r="E222" s="2" t="s">
        <v>104</v>
      </c>
      <c r="F222" s="2" t="s">
        <v>163</v>
      </c>
      <c r="G222" s="2" t="s">
        <v>40</v>
      </c>
      <c r="H222" s="8" t="s">
        <v>41</v>
      </c>
      <c r="I222" s="2" t="s">
        <v>1358</v>
      </c>
      <c r="J222" s="2" t="s">
        <v>1359</v>
      </c>
      <c r="K222" s="2" t="s">
        <v>1360</v>
      </c>
      <c r="L222" s="2" t="s">
        <v>1361</v>
      </c>
      <c r="M222" s="2" t="s">
        <v>45</v>
      </c>
      <c r="N222" s="2" t="s">
        <v>32</v>
      </c>
      <c r="O222" s="2" t="s">
        <v>35</v>
      </c>
      <c r="P222" s="10" t="s">
        <v>1362</v>
      </c>
      <c r="Q222" s="2" t="s">
        <v>35</v>
      </c>
      <c r="R222" s="2" t="s">
        <v>35</v>
      </c>
      <c r="S222" s="2" t="s">
        <v>35</v>
      </c>
      <c r="T222" s="2" t="s">
        <v>35</v>
      </c>
    </row>
    <row r="223" ht="43.2" hidden="1" spans="1:20">
      <c r="A223" s="2" t="s">
        <v>1363</v>
      </c>
      <c r="B223" s="2" t="s">
        <v>1355</v>
      </c>
      <c r="C223" s="2" t="s">
        <v>1356</v>
      </c>
      <c r="D223" s="2" t="s">
        <v>1364</v>
      </c>
      <c r="E223" s="2" t="s">
        <v>104</v>
      </c>
      <c r="F223" s="2" t="s">
        <v>24</v>
      </c>
      <c r="G223" s="2" t="s">
        <v>40</v>
      </c>
      <c r="H223" s="8" t="s">
        <v>41</v>
      </c>
      <c r="I223" s="2" t="s">
        <v>1358</v>
      </c>
      <c r="J223" s="2" t="s">
        <v>1365</v>
      </c>
      <c r="K223" s="2" t="s">
        <v>1366</v>
      </c>
      <c r="L223" s="2" t="s">
        <v>1367</v>
      </c>
      <c r="M223" s="2" t="s">
        <v>45</v>
      </c>
      <c r="N223" s="2" t="s">
        <v>32</v>
      </c>
      <c r="O223" s="2" t="s">
        <v>35</v>
      </c>
      <c r="P223" s="10" t="s">
        <v>1362</v>
      </c>
      <c r="Q223" s="2" t="s">
        <v>35</v>
      </c>
      <c r="R223" s="2" t="s">
        <v>35</v>
      </c>
      <c r="S223" s="2" t="s">
        <v>35</v>
      </c>
      <c r="T223" s="2" t="s">
        <v>35</v>
      </c>
    </row>
    <row r="224" ht="57.6" hidden="1" spans="1:20">
      <c r="A224" s="2" t="s">
        <v>1368</v>
      </c>
      <c r="B224" s="2" t="s">
        <v>1355</v>
      </c>
      <c r="C224" s="2" t="s">
        <v>1356</v>
      </c>
      <c r="D224" s="2" t="s">
        <v>1369</v>
      </c>
      <c r="E224" s="2" t="s">
        <v>104</v>
      </c>
      <c r="F224" s="2" t="s">
        <v>24</v>
      </c>
      <c r="G224" s="2" t="s">
        <v>40</v>
      </c>
      <c r="H224" s="7" t="s">
        <v>26</v>
      </c>
      <c r="I224" s="2" t="s">
        <v>1358</v>
      </c>
      <c r="J224" s="2" t="s">
        <v>1370</v>
      </c>
      <c r="K224" s="2" t="s">
        <v>1371</v>
      </c>
      <c r="L224" s="2" t="s">
        <v>1372</v>
      </c>
      <c r="M224" s="2" t="s">
        <v>45</v>
      </c>
      <c r="N224" s="2" t="s">
        <v>32</v>
      </c>
      <c r="O224" s="2" t="s">
        <v>35</v>
      </c>
      <c r="P224" s="10" t="s">
        <v>1362</v>
      </c>
      <c r="Q224" s="2" t="s">
        <v>35</v>
      </c>
      <c r="R224" s="2" t="s">
        <v>35</v>
      </c>
      <c r="S224" s="2" t="s">
        <v>35</v>
      </c>
      <c r="T224" s="2" t="s">
        <v>35</v>
      </c>
    </row>
    <row r="225" ht="72" hidden="1" spans="1:20">
      <c r="A225" s="2" t="s">
        <v>1373</v>
      </c>
      <c r="B225" s="2" t="s">
        <v>1374</v>
      </c>
      <c r="C225" s="2" t="s">
        <v>1375</v>
      </c>
      <c r="D225" s="2" t="s">
        <v>1376</v>
      </c>
      <c r="E225" s="2" t="s">
        <v>1377</v>
      </c>
      <c r="F225" s="2" t="s">
        <v>24</v>
      </c>
      <c r="G225" s="2" t="s">
        <v>40</v>
      </c>
      <c r="H225" s="8" t="s">
        <v>41</v>
      </c>
      <c r="I225" s="2" t="s">
        <v>1378</v>
      </c>
      <c r="J225" s="2" t="s">
        <v>608</v>
      </c>
      <c r="K225" s="2" t="s">
        <v>1379</v>
      </c>
      <c r="L225" s="2" t="s">
        <v>1380</v>
      </c>
      <c r="M225" s="2" t="s">
        <v>488</v>
      </c>
      <c r="N225" s="2" t="s">
        <v>32</v>
      </c>
      <c r="O225" s="2" t="s">
        <v>35</v>
      </c>
      <c r="P225" s="2" t="s">
        <v>34</v>
      </c>
      <c r="Q225" s="2" t="s">
        <v>35</v>
      </c>
      <c r="R225" s="2" t="s">
        <v>35</v>
      </c>
      <c r="S225" s="2" t="s">
        <v>35</v>
      </c>
      <c r="T225" s="2" t="s">
        <v>35</v>
      </c>
    </row>
    <row r="226" ht="86.4" hidden="1" spans="1:20">
      <c r="A226" s="2" t="s">
        <v>1381</v>
      </c>
      <c r="B226" s="2" t="s">
        <v>1374</v>
      </c>
      <c r="C226" s="2" t="s">
        <v>1375</v>
      </c>
      <c r="D226" s="2" t="s">
        <v>1382</v>
      </c>
      <c r="E226" s="2" t="s">
        <v>1377</v>
      </c>
      <c r="F226" s="2" t="s">
        <v>24</v>
      </c>
      <c r="G226" s="2" t="s">
        <v>40</v>
      </c>
      <c r="H226" s="8" t="s">
        <v>41</v>
      </c>
      <c r="I226" s="2" t="s">
        <v>1378</v>
      </c>
      <c r="J226" s="2" t="s">
        <v>1383</v>
      </c>
      <c r="K226" s="2" t="s">
        <v>1384</v>
      </c>
      <c r="L226" s="2" t="s">
        <v>1385</v>
      </c>
      <c r="M226" s="2" t="s">
        <v>488</v>
      </c>
      <c r="N226" s="2" t="s">
        <v>32</v>
      </c>
      <c r="O226" s="2" t="s">
        <v>35</v>
      </c>
      <c r="P226" s="2" t="s">
        <v>34</v>
      </c>
      <c r="Q226" s="2" t="s">
        <v>35</v>
      </c>
      <c r="R226" s="2" t="s">
        <v>35</v>
      </c>
      <c r="S226" s="2" t="s">
        <v>35</v>
      </c>
      <c r="T226" s="2" t="s">
        <v>35</v>
      </c>
    </row>
    <row r="227" ht="72" hidden="1" spans="1:20">
      <c r="A227" s="2" t="s">
        <v>1386</v>
      </c>
      <c r="B227" s="2" t="s">
        <v>1374</v>
      </c>
      <c r="C227" s="2" t="s">
        <v>1375</v>
      </c>
      <c r="D227" s="2" t="s">
        <v>1387</v>
      </c>
      <c r="E227" s="2" t="s">
        <v>1377</v>
      </c>
      <c r="F227" s="2" t="s">
        <v>24</v>
      </c>
      <c r="G227" s="2" t="s">
        <v>40</v>
      </c>
      <c r="H227" s="8" t="s">
        <v>41</v>
      </c>
      <c r="I227" s="2" t="s">
        <v>1378</v>
      </c>
      <c r="J227" s="2" t="s">
        <v>1064</v>
      </c>
      <c r="K227" s="2" t="s">
        <v>1388</v>
      </c>
      <c r="L227" s="2" t="s">
        <v>1389</v>
      </c>
      <c r="M227" s="2" t="s">
        <v>488</v>
      </c>
      <c r="N227" s="2" t="s">
        <v>32</v>
      </c>
      <c r="O227" s="2" t="s">
        <v>35</v>
      </c>
      <c r="P227" s="2" t="s">
        <v>34</v>
      </c>
      <c r="Q227" s="2" t="s">
        <v>35</v>
      </c>
      <c r="R227" s="2" t="s">
        <v>35</v>
      </c>
      <c r="S227" s="2" t="s">
        <v>35</v>
      </c>
      <c r="T227" s="2" t="s">
        <v>35</v>
      </c>
    </row>
    <row r="228" ht="43.2" hidden="1" spans="1:20">
      <c r="A228" s="2" t="s">
        <v>1390</v>
      </c>
      <c r="B228" s="2" t="s">
        <v>1374</v>
      </c>
      <c r="C228" s="2" t="s">
        <v>1391</v>
      </c>
      <c r="D228" s="2" t="s">
        <v>1392</v>
      </c>
      <c r="E228" s="2" t="s">
        <v>1393</v>
      </c>
      <c r="F228" s="2" t="s">
        <v>76</v>
      </c>
      <c r="G228" s="2" t="s">
        <v>77</v>
      </c>
      <c r="H228" s="7" t="s">
        <v>26</v>
      </c>
      <c r="I228" s="2" t="s">
        <v>1394</v>
      </c>
      <c r="J228" s="2" t="s">
        <v>1395</v>
      </c>
      <c r="K228" s="2" t="s">
        <v>1396</v>
      </c>
      <c r="L228" s="2" t="s">
        <v>1397</v>
      </c>
      <c r="M228" s="2" t="s">
        <v>31</v>
      </c>
      <c r="N228" s="2" t="s">
        <v>32</v>
      </c>
      <c r="O228" s="2" t="s">
        <v>35</v>
      </c>
      <c r="P228" s="2" t="s">
        <v>34</v>
      </c>
      <c r="Q228" s="2" t="s">
        <v>35</v>
      </c>
      <c r="R228" s="2" t="s">
        <v>35</v>
      </c>
      <c r="S228" s="2" t="s">
        <v>35</v>
      </c>
      <c r="T228" s="2" t="s">
        <v>35</v>
      </c>
    </row>
    <row r="229" ht="57.6" hidden="1" spans="1:20">
      <c r="A229" s="2" t="s">
        <v>1398</v>
      </c>
      <c r="B229" s="2" t="s">
        <v>1374</v>
      </c>
      <c r="C229" s="2" t="s">
        <v>1391</v>
      </c>
      <c r="D229" s="2" t="s">
        <v>1399</v>
      </c>
      <c r="E229" s="2" t="s">
        <v>1393</v>
      </c>
      <c r="F229" s="2" t="s">
        <v>76</v>
      </c>
      <c r="G229" s="2" t="s">
        <v>77</v>
      </c>
      <c r="H229" s="7" t="s">
        <v>26</v>
      </c>
      <c r="I229" s="2" t="s">
        <v>1394</v>
      </c>
      <c r="J229" s="2" t="s">
        <v>1400</v>
      </c>
      <c r="K229" s="2" t="s">
        <v>1401</v>
      </c>
      <c r="L229" s="2" t="s">
        <v>1402</v>
      </c>
      <c r="M229" s="2" t="s">
        <v>31</v>
      </c>
      <c r="N229" s="2" t="s">
        <v>32</v>
      </c>
      <c r="O229" s="2" t="s">
        <v>35</v>
      </c>
      <c r="P229" s="2" t="s">
        <v>34</v>
      </c>
      <c r="Q229" s="2" t="s">
        <v>35</v>
      </c>
      <c r="R229" s="2" t="s">
        <v>35</v>
      </c>
      <c r="S229" s="2" t="s">
        <v>35</v>
      </c>
      <c r="T229" s="2" t="s">
        <v>35</v>
      </c>
    </row>
    <row r="230" ht="72" hidden="1" spans="1:20">
      <c r="A230" s="2" t="s">
        <v>1403</v>
      </c>
      <c r="B230" s="2" t="s">
        <v>1374</v>
      </c>
      <c r="C230" s="2" t="s">
        <v>1404</v>
      </c>
      <c r="D230" s="2" t="s">
        <v>1405</v>
      </c>
      <c r="E230" s="2" t="s">
        <v>1406</v>
      </c>
      <c r="F230" s="2" t="s">
        <v>24</v>
      </c>
      <c r="G230" s="2" t="s">
        <v>25</v>
      </c>
      <c r="H230" s="11" t="s">
        <v>592</v>
      </c>
      <c r="I230" s="2" t="s">
        <v>42</v>
      </c>
      <c r="J230" s="2" t="s">
        <v>28</v>
      </c>
      <c r="K230" s="2" t="s">
        <v>1407</v>
      </c>
      <c r="L230" s="2" t="s">
        <v>1408</v>
      </c>
      <c r="M230" s="2" t="s">
        <v>31</v>
      </c>
      <c r="N230" s="2" t="s">
        <v>32</v>
      </c>
      <c r="O230" s="2" t="s">
        <v>35</v>
      </c>
      <c r="P230" s="2" t="s">
        <v>34</v>
      </c>
      <c r="Q230" s="2" t="s">
        <v>35</v>
      </c>
      <c r="R230" s="2" t="s">
        <v>35</v>
      </c>
      <c r="S230" s="2" t="s">
        <v>35</v>
      </c>
      <c r="T230" s="2" t="s">
        <v>35</v>
      </c>
    </row>
    <row r="231" ht="57.6" hidden="1" spans="1:20">
      <c r="A231" s="2" t="s">
        <v>1409</v>
      </c>
      <c r="B231" s="2" t="s">
        <v>1374</v>
      </c>
      <c r="C231" s="2" t="s">
        <v>1404</v>
      </c>
      <c r="D231" s="2" t="s">
        <v>1410</v>
      </c>
      <c r="E231" s="2" t="s">
        <v>1411</v>
      </c>
      <c r="F231" s="2" t="s">
        <v>24</v>
      </c>
      <c r="G231" s="2" t="s">
        <v>25</v>
      </c>
      <c r="H231" s="7" t="s">
        <v>26</v>
      </c>
      <c r="I231" s="2" t="s">
        <v>42</v>
      </c>
      <c r="J231" s="2" t="s">
        <v>28</v>
      </c>
      <c r="K231" s="2" t="s">
        <v>1412</v>
      </c>
      <c r="L231" s="2" t="s">
        <v>1413</v>
      </c>
      <c r="M231" s="2" t="s">
        <v>31</v>
      </c>
      <c r="N231" s="2" t="s">
        <v>32</v>
      </c>
      <c r="O231" s="2" t="s">
        <v>35</v>
      </c>
      <c r="P231" s="2" t="s">
        <v>34</v>
      </c>
      <c r="Q231" s="2" t="s">
        <v>35</v>
      </c>
      <c r="R231" s="2" t="s">
        <v>35</v>
      </c>
      <c r="S231" s="2" t="s">
        <v>35</v>
      </c>
      <c r="T231" s="2" t="s">
        <v>35</v>
      </c>
    </row>
    <row r="232" ht="72" hidden="1" spans="1:20">
      <c r="A232" s="2" t="s">
        <v>1414</v>
      </c>
      <c r="B232" s="2" t="s">
        <v>1374</v>
      </c>
      <c r="C232" s="2" t="s">
        <v>1404</v>
      </c>
      <c r="D232" s="2" t="s">
        <v>1415</v>
      </c>
      <c r="E232" s="2" t="s">
        <v>1411</v>
      </c>
      <c r="F232" s="2" t="s">
        <v>24</v>
      </c>
      <c r="G232" s="2" t="s">
        <v>25</v>
      </c>
      <c r="H232" s="7" t="s">
        <v>26</v>
      </c>
      <c r="I232" s="2" t="s">
        <v>27</v>
      </c>
      <c r="J232" s="2" t="s">
        <v>107</v>
      </c>
      <c r="K232" s="2" t="s">
        <v>1416</v>
      </c>
      <c r="L232" s="2" t="s">
        <v>1417</v>
      </c>
      <c r="M232" s="2" t="s">
        <v>31</v>
      </c>
      <c r="N232" s="2" t="s">
        <v>32</v>
      </c>
      <c r="O232" s="2" t="s">
        <v>35</v>
      </c>
      <c r="P232" s="2" t="s">
        <v>34</v>
      </c>
      <c r="Q232" s="2" t="s">
        <v>35</v>
      </c>
      <c r="R232" s="2" t="s">
        <v>35</v>
      </c>
      <c r="S232" s="2" t="s">
        <v>35</v>
      </c>
      <c r="T232" s="2" t="s">
        <v>35</v>
      </c>
    </row>
    <row r="233" ht="72" hidden="1" spans="1:20">
      <c r="A233" s="2" t="s">
        <v>1418</v>
      </c>
      <c r="B233" s="2" t="s">
        <v>1374</v>
      </c>
      <c r="C233" s="2" t="s">
        <v>671</v>
      </c>
      <c r="D233" s="2" t="s">
        <v>1419</v>
      </c>
      <c r="E233" s="2" t="s">
        <v>1411</v>
      </c>
      <c r="F233" s="2" t="s">
        <v>24</v>
      </c>
      <c r="G233" s="2" t="s">
        <v>25</v>
      </c>
      <c r="H233" s="7" t="s">
        <v>26</v>
      </c>
      <c r="I233" s="2" t="s">
        <v>1420</v>
      </c>
      <c r="J233" s="2" t="s">
        <v>1421</v>
      </c>
      <c r="K233" s="2" t="s">
        <v>1422</v>
      </c>
      <c r="L233" s="2" t="s">
        <v>1423</v>
      </c>
      <c r="M233" s="2" t="s">
        <v>31</v>
      </c>
      <c r="N233" s="2" t="s">
        <v>32</v>
      </c>
      <c r="O233" s="2" t="s">
        <v>35</v>
      </c>
      <c r="P233" s="2" t="s">
        <v>34</v>
      </c>
      <c r="Q233" s="2" t="s">
        <v>35</v>
      </c>
      <c r="R233" s="2" t="s">
        <v>35</v>
      </c>
      <c r="S233" s="2" t="s">
        <v>35</v>
      </c>
      <c r="T233" s="2" t="s">
        <v>35</v>
      </c>
    </row>
  </sheetData>
  <autoFilter xmlns:etc="http://www.wps.cn/officeDocument/2017/etCustomData" ref="A1:T233" etc:filterBottomFollowUsedRange="0">
    <filterColumn colId="1">
      <filters>
        <filter val="01. Bộ lọc kỳ &amp; thuế"/>
      </filters>
    </filterColumn>
    <extLst/>
  </autoFilter>
  <dataValidations count="6">
    <dataValidation type="list" allowBlank="1" sqref="E2:E733">
      <formula1>"API,Accessibility,Compatibility,Functional,Integration,Performance,Security,UI,Usability,Validation"</formula1>
    </dataValidation>
    <dataValidation type="list" allowBlank="1" sqref="F2:F733">
      <formula1>"Boundary,Edge,Negative,Positive"</formula1>
    </dataValidation>
    <dataValidation type="list" allowBlank="1" sqref="G2:G733">
      <formula1>"BVA,CL,CRUD,DT,EG,EP,PERM,PW,ST,UC"</formula1>
    </dataValidation>
    <dataValidation type="list" allowBlank="1" sqref="H2:H733">
      <formula1>"P1,P2,P3,P4"</formula1>
    </dataValidation>
    <dataValidation type="list" allowBlank="1" sqref="M2:M733">
      <formula1>"Candidate,No,Yes"</formula1>
    </dataValidation>
    <dataValidation type="list" allowBlank="1" sqref="N2:N733">
      <formula1>"Blocked,Fail,Not Run,Obsolete,Pass,Skipped"</formula1>
    </dataValidation>
  </dataValidations>
  <pageMargins left="0.75" right="0.75" top="1" bottom="1" header="0.5" footer="0.5"/>
  <pageSetup paperSize="9"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0"/>
  <sheetViews>
    <sheetView workbookViewId="0">
      <selection activeCell="A1" sqref="A1"/>
    </sheetView>
  </sheetViews>
  <sheetFormatPr defaultColWidth="9" defaultRowHeight="14.4" outlineLevelCol="1"/>
  <cols>
    <col min="1" max="1" width="24" customWidth="1"/>
    <col min="2" max="2" width="12" customWidth="1"/>
  </cols>
  <sheetData>
    <row r="1" ht="18" spans="1:2">
      <c r="A1" s="4" t="s">
        <v>1424</v>
      </c>
    </row>
    <row r="3" spans="1:2">
      <c r="A3" s="5" t="s">
        <v>12</v>
      </c>
      <c r="B3" s="5" t="s">
        <v>1425</v>
      </c>
    </row>
    <row r="4" spans="1:2">
      <c r="A4" t="s">
        <v>1426</v>
      </c>
      <c r="B4">
        <f>COUNTIF('Test Cases'!N2:N733,"Blocked")</f>
        <v>0</v>
      </c>
    </row>
    <row r="5" spans="1:2">
      <c r="A5" t="s">
        <v>1427</v>
      </c>
      <c r="B5">
        <f>COUNTIF('Test Cases'!N2:N733,"Fail")</f>
        <v>0</v>
      </c>
    </row>
    <row r="6" spans="1:2">
      <c r="A6" t="s">
        <v>32</v>
      </c>
      <c r="B6">
        <f>COUNTIF('Test Cases'!N2:N733,"Not Run")</f>
        <v>232</v>
      </c>
    </row>
    <row r="7" spans="1:2">
      <c r="A7" t="s">
        <v>1428</v>
      </c>
      <c r="B7">
        <f>COUNTIF('Test Cases'!N2:N733,"Obsolete")</f>
        <v>0</v>
      </c>
    </row>
    <row r="8" spans="1:2">
      <c r="A8" t="s">
        <v>1429</v>
      </c>
      <c r="B8">
        <f>COUNTIF('Test Cases'!N2:N733,"Pass")</f>
        <v>0</v>
      </c>
    </row>
    <row r="9" spans="1:2">
      <c r="A9" t="s">
        <v>1430</v>
      </c>
      <c r="B9">
        <f>COUNTIF('Test Cases'!N2:N733,"Skipped")</f>
        <v>0</v>
      </c>
    </row>
    <row r="11" spans="1:2">
      <c r="A11" s="5" t="s">
        <v>14</v>
      </c>
      <c r="B11" s="5" t="s">
        <v>1425</v>
      </c>
    </row>
    <row r="12" spans="1:2">
      <c r="A12" t="s">
        <v>34</v>
      </c>
      <c r="B12">
        <f>COUNTIF('Test Cases'!P2:P733,"Ready")</f>
        <v>134</v>
      </c>
    </row>
    <row r="13" spans="1:2">
      <c r="A13" t="s">
        <v>1431</v>
      </c>
      <c r="B13">
        <f>COUNTIF('Test Cases'!P2:P733,"Needs Clarification*")</f>
        <v>39</v>
      </c>
    </row>
    <row r="14" spans="1:2">
      <c r="A14" t="s">
        <v>1426</v>
      </c>
      <c r="B14">
        <f>COUNTIF('Test Cases'!P2:P733,"Blocked*")</f>
        <v>59</v>
      </c>
    </row>
    <row r="15" spans="1:2">
      <c r="A15" t="s">
        <v>1428</v>
      </c>
      <c r="B15">
        <f>COUNTIF('Test Cases'!P2:P733,"Obsolete")</f>
        <v>0</v>
      </c>
    </row>
    <row r="17" spans="1:2">
      <c r="A17" s="5" t="s">
        <v>7</v>
      </c>
      <c r="B17" s="5" t="s">
        <v>1425</v>
      </c>
    </row>
    <row r="18" spans="1:2">
      <c r="A18" t="s">
        <v>66</v>
      </c>
      <c r="B18">
        <f>COUNTIF('Test Cases'!H2:H733,"P1")</f>
        <v>56</v>
      </c>
    </row>
    <row r="19" spans="1:2">
      <c r="A19" t="s">
        <v>41</v>
      </c>
      <c r="B19">
        <f>COUNTIF('Test Cases'!H2:H733,"P2")</f>
        <v>91</v>
      </c>
    </row>
    <row r="20" spans="1:2">
      <c r="A20" t="s">
        <v>26</v>
      </c>
      <c r="B20">
        <f>COUNTIF('Test Cases'!H2:H733,"P3")</f>
        <v>71</v>
      </c>
    </row>
    <row r="21" spans="1:2">
      <c r="A21" t="s">
        <v>592</v>
      </c>
      <c r="B21">
        <f>COUNTIF('Test Cases'!H2:H733,"P4")</f>
        <v>14</v>
      </c>
    </row>
    <row r="23" spans="1:2">
      <c r="A23" s="5" t="s">
        <v>5</v>
      </c>
      <c r="B23" s="5" t="s">
        <v>1425</v>
      </c>
    </row>
    <row r="24" spans="1:2">
      <c r="A24" t="s">
        <v>76</v>
      </c>
      <c r="B24">
        <f>COUNTIF('Test Cases'!F2:F733,"Boundary")</f>
        <v>39</v>
      </c>
    </row>
    <row r="25" spans="1:2">
      <c r="A25" t="s">
        <v>139</v>
      </c>
      <c r="B25">
        <f>COUNTIF('Test Cases'!F2:F733,"Edge")</f>
        <v>49</v>
      </c>
    </row>
    <row r="26" spans="1:2">
      <c r="A26" t="s">
        <v>163</v>
      </c>
      <c r="B26">
        <f>COUNTIF('Test Cases'!F2:F733,"Negative")</f>
        <v>24</v>
      </c>
    </row>
    <row r="27" spans="1:2">
      <c r="A27" t="s">
        <v>24</v>
      </c>
      <c r="B27">
        <f>COUNTIF('Test Cases'!F2:F733,"Positive")</f>
        <v>120</v>
      </c>
    </row>
    <row r="29" spans="1:2">
      <c r="A29" s="5" t="s">
        <v>4</v>
      </c>
      <c r="B29" s="5" t="s">
        <v>1425</v>
      </c>
    </row>
    <row r="30" spans="1:2">
      <c r="A30" t="s">
        <v>1411</v>
      </c>
      <c r="B30">
        <f>COUNTIF('Test Cases'!E2:E733,"Accessibility")</f>
        <v>3</v>
      </c>
    </row>
    <row r="31" spans="1:2">
      <c r="A31" t="s">
        <v>1393</v>
      </c>
      <c r="B31">
        <f>COUNTIF('Test Cases'!E2:E733,"Compatibility")</f>
        <v>2</v>
      </c>
    </row>
    <row r="32" spans="1:2">
      <c r="A32" t="s">
        <v>39</v>
      </c>
      <c r="B32">
        <f>COUNTIF('Test Cases'!E2:E733,"Functional")</f>
        <v>156</v>
      </c>
    </row>
    <row r="33" spans="1:2">
      <c r="A33" t="s">
        <v>104</v>
      </c>
      <c r="B33">
        <f>COUNTIF('Test Cases'!E2:E733,"Integration")</f>
        <v>13</v>
      </c>
    </row>
    <row r="34" spans="1:2">
      <c r="A34" t="s">
        <v>1377</v>
      </c>
      <c r="B34">
        <f>COUNTIF('Test Cases'!E2:E733,"Performance")</f>
        <v>3</v>
      </c>
    </row>
    <row r="35" spans="1:2">
      <c r="A35" t="s">
        <v>115</v>
      </c>
      <c r="B35">
        <f>COUNTIF('Test Cases'!E2:E733,"Security")</f>
        <v>10</v>
      </c>
    </row>
    <row r="36" spans="1:2">
      <c r="A36" t="s">
        <v>23</v>
      </c>
      <c r="B36">
        <f>COUNTIF('Test Cases'!E2:E733,"UI")</f>
        <v>39</v>
      </c>
    </row>
    <row r="37" spans="1:2">
      <c r="A37" t="s">
        <v>1406</v>
      </c>
      <c r="B37">
        <f>COUNTIF('Test Cases'!E2:E733,"Usability")</f>
        <v>1</v>
      </c>
    </row>
    <row r="38" spans="1:2">
      <c r="A38" t="s">
        <v>75</v>
      </c>
      <c r="B38">
        <f>COUNTIF('Test Cases'!E2:E733,"Validation")</f>
        <v>5</v>
      </c>
    </row>
    <row r="40" spans="1:2">
      <c r="A40" s="5" t="s">
        <v>1</v>
      </c>
      <c r="B40" s="5" t="s">
        <v>1425</v>
      </c>
    </row>
    <row r="41" spans="1:2">
      <c r="A41" t="s">
        <v>20</v>
      </c>
      <c r="B41">
        <f>COUNTIF('Test Cases'!B2:B733,"01. Bộ lọc kỳ &amp; thuế")</f>
        <v>12</v>
      </c>
    </row>
    <row r="42" spans="1:2">
      <c r="A42" t="s">
        <v>112</v>
      </c>
      <c r="B42">
        <f>COUNTIF('Test Cases'!B2:B733,"02. Phạm vi dữ liệu &amp; phân quyền")</f>
        <v>23</v>
      </c>
    </row>
    <row r="43" spans="1:2">
      <c r="A43" t="s">
        <v>273</v>
      </c>
      <c r="B43">
        <f>COUNTIF('Test Cases'!B2:B733,"03. Sales (số đo nền)")</f>
        <v>17</v>
      </c>
    </row>
    <row r="44" spans="1:2">
      <c r="A44" t="s">
        <v>384</v>
      </c>
      <c r="B44">
        <f>COUNTIF('Test Cases'!B2:B733,"04. Transactions")</f>
        <v>4</v>
      </c>
    </row>
    <row r="45" spans="1:2">
      <c r="A45" t="s">
        <v>409</v>
      </c>
      <c r="B45">
        <f>COUNTIF('Test Cases'!B2:B733,"05. Frequency")</f>
        <v>5</v>
      </c>
    </row>
    <row r="46" spans="1:2">
      <c r="A46" t="s">
        <v>443</v>
      </c>
      <c r="B46">
        <f>COUNTIF('Test Cases'!B2:B733,"06. Coupon %")</f>
        <v>3</v>
      </c>
    </row>
    <row r="47" spans="1:2">
      <c r="A47" t="s">
        <v>460</v>
      </c>
      <c r="B47">
        <f>COUNTIF('Test Cases'!B2:B733,"07. AOV")</f>
        <v>7</v>
      </c>
    </row>
    <row r="48" spans="1:2">
      <c r="A48" t="s">
        <v>501</v>
      </c>
      <c r="B48">
        <f>COUNTIF('Test Cases'!B2:B733,"08. UPT")</f>
        <v>5</v>
      </c>
    </row>
    <row r="49" spans="1:2">
      <c r="A49" t="s">
        <v>531</v>
      </c>
      <c r="B49">
        <f>COUNTIF('Test Cases'!B2:B733,"09. Avg Spending/Customer")</f>
        <v>7</v>
      </c>
    </row>
    <row r="50" spans="1:2">
      <c r="A50" t="s">
        <v>567</v>
      </c>
      <c r="B50">
        <f>COUNTIF('Test Cases'!B2:B733,"10. Định dạng &amp; nhãn hiển thị")</f>
        <v>13</v>
      </c>
    </row>
    <row r="51" spans="1:2">
      <c r="A51" t="s">
        <v>636</v>
      </c>
      <c r="B51">
        <f>COUNTIF('Test Cases'!B2:B733,"11. Cảnh báo động")</f>
        <v>5</v>
      </c>
    </row>
    <row r="52" spans="1:2">
      <c r="A52" t="s">
        <v>670</v>
      </c>
      <c r="B52">
        <f>COUNTIF('Test Cases'!B2:B733,"12. Biểu đồ Sales theo thời gian")</f>
        <v>51</v>
      </c>
    </row>
    <row r="53" spans="1:2">
      <c r="A53" t="s">
        <v>949</v>
      </c>
      <c r="B53">
        <f>COUNTIF('Test Cases'!B2:B733,"13. Bộ chọn Store &amp; lọc Client Advisor")</f>
        <v>12</v>
      </c>
    </row>
    <row r="54" spans="1:2">
      <c r="A54" t="s">
        <v>1017</v>
      </c>
      <c r="B54">
        <f>COUNTIF('Test Cases'!B2:B733,"14. Xếp hạng Top/Bottom")</f>
        <v>6</v>
      </c>
    </row>
    <row r="55" spans="1:2">
      <c r="A55" t="s">
        <v>1047</v>
      </c>
      <c r="B55">
        <f>COUNTIF('Test Cases'!B2:B733,"15. Bảng breakdown")</f>
        <v>18</v>
      </c>
    </row>
    <row r="56" spans="1:2">
      <c r="A56" t="s">
        <v>1143</v>
      </c>
      <c r="B56">
        <f>COUNTIF('Test Cases'!B2:B733,"16. Incentive nhân viên")</f>
        <v>32</v>
      </c>
    </row>
    <row r="57" spans="1:2">
      <c r="A57" t="s">
        <v>1355</v>
      </c>
      <c r="B57">
        <f>COUNTIF('Test Cases'!B2:B733,"17. Migrate dữ liệu Incentive")</f>
        <v>3</v>
      </c>
    </row>
    <row r="58" spans="1:2">
      <c r="A58" t="s">
        <v>1374</v>
      </c>
      <c r="B58">
        <f>COUNTIF('Test Cases'!B2:B733,"18. Phi chức năng")</f>
        <v>9</v>
      </c>
    </row>
    <row r="60" spans="1:2">
      <c r="A60" s="5" t="s">
        <v>1432</v>
      </c>
      <c r="B60">
        <f>COUNTA('Test Cases'!A2:A733)</f>
        <v>232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4.4" outlineLevelCol="4"/>
  <cols>
    <col min="1" max="1" width="18" customWidth="1"/>
    <col min="2" max="2" width="60" customWidth="1"/>
    <col min="3" max="3" width="8" customWidth="1"/>
    <col min="4" max="4" width="50" customWidth="1"/>
    <col min="5" max="5" width="16" customWidth="1"/>
  </cols>
  <sheetData>
    <row r="1" spans="1:5">
      <c r="A1" s="1" t="s">
        <v>2</v>
      </c>
      <c r="B1" s="1" t="s">
        <v>1433</v>
      </c>
      <c r="C1" s="1" t="s">
        <v>1434</v>
      </c>
      <c r="D1" s="1" t="s">
        <v>1435</v>
      </c>
      <c r="E1" s="1" t="s">
        <v>1436</v>
      </c>
    </row>
    <row r="2" spans="1:5">
      <c r="A2" s="2" t="s">
        <v>1144</v>
      </c>
      <c r="B2" s="2" t="s">
        <v>1437</v>
      </c>
      <c r="C2" s="2">
        <v>2</v>
      </c>
      <c r="D2" s="2" t="s">
        <v>1438</v>
      </c>
      <c r="E2" s="2" t="s">
        <v>1439</v>
      </c>
    </row>
    <row r="3" ht="28.8" spans="1:5">
      <c r="A3" s="2" t="s">
        <v>1153</v>
      </c>
      <c r="B3" s="2" t="s">
        <v>1440</v>
      </c>
      <c r="C3" s="2">
        <v>8</v>
      </c>
      <c r="D3" s="2" t="s">
        <v>1441</v>
      </c>
      <c r="E3" s="2" t="s">
        <v>1439</v>
      </c>
    </row>
    <row r="4" ht="28.8" spans="1:5">
      <c r="A4" s="2" t="s">
        <v>1208</v>
      </c>
      <c r="B4" s="2" t="s">
        <v>1442</v>
      </c>
      <c r="C4" s="2">
        <v>7</v>
      </c>
      <c r="D4" s="2" t="s">
        <v>1443</v>
      </c>
      <c r="E4" s="2" t="s">
        <v>1439</v>
      </c>
    </row>
    <row r="5" ht="43.2" spans="1:5">
      <c r="A5" s="2" t="s">
        <v>1251</v>
      </c>
      <c r="B5" s="2" t="s">
        <v>1444</v>
      </c>
      <c r="C5" s="2">
        <v>12</v>
      </c>
      <c r="D5" s="2" t="s">
        <v>1445</v>
      </c>
      <c r="E5" s="2" t="s">
        <v>1439</v>
      </c>
    </row>
    <row r="6" ht="28.8" spans="1:5">
      <c r="A6" s="2" t="s">
        <v>1304</v>
      </c>
      <c r="B6" s="2" t="s">
        <v>1446</v>
      </c>
      <c r="C6" s="2">
        <v>6</v>
      </c>
      <c r="D6" s="2" t="s">
        <v>1447</v>
      </c>
      <c r="E6" s="2" t="s">
        <v>1439</v>
      </c>
    </row>
    <row r="7" ht="100.8" spans="1:5">
      <c r="A7" s="2" t="s">
        <v>113</v>
      </c>
      <c r="B7" s="2" t="s">
        <v>1448</v>
      </c>
      <c r="C7" s="2">
        <v>23</v>
      </c>
      <c r="D7" s="2" t="s">
        <v>1449</v>
      </c>
      <c r="E7" s="2" t="s">
        <v>1439</v>
      </c>
    </row>
    <row r="8" ht="72" spans="1:5">
      <c r="A8" s="2" t="s">
        <v>274</v>
      </c>
      <c r="B8" s="2" t="s">
        <v>1450</v>
      </c>
      <c r="C8" s="2">
        <v>17</v>
      </c>
      <c r="D8" s="2" t="s">
        <v>1451</v>
      </c>
      <c r="E8" s="2" t="s">
        <v>1439</v>
      </c>
    </row>
    <row r="9" ht="28.8" spans="1:5">
      <c r="A9" s="2" t="s">
        <v>385</v>
      </c>
      <c r="B9" s="2" t="s">
        <v>1452</v>
      </c>
      <c r="C9" s="2">
        <v>6</v>
      </c>
      <c r="D9" s="2" t="s">
        <v>1453</v>
      </c>
      <c r="E9" s="2" t="s">
        <v>1439</v>
      </c>
    </row>
    <row r="10" ht="28.8" spans="1:5">
      <c r="A10" s="2" t="s">
        <v>410</v>
      </c>
      <c r="B10" s="2" t="s">
        <v>1454</v>
      </c>
      <c r="C10" s="2">
        <v>6</v>
      </c>
      <c r="D10" s="2" t="s">
        <v>1455</v>
      </c>
      <c r="E10" s="2" t="s">
        <v>1439</v>
      </c>
    </row>
    <row r="11" spans="1:5">
      <c r="A11" s="2" t="s">
        <v>444</v>
      </c>
      <c r="B11" s="2" t="s">
        <v>1456</v>
      </c>
      <c r="C11" s="2">
        <v>4</v>
      </c>
      <c r="D11" s="2" t="s">
        <v>1457</v>
      </c>
      <c r="E11" s="2" t="s">
        <v>1439</v>
      </c>
    </row>
    <row r="12" ht="28.8" spans="1:5">
      <c r="A12" s="2" t="s">
        <v>461</v>
      </c>
      <c r="B12" s="2" t="s">
        <v>1458</v>
      </c>
      <c r="C12" s="2">
        <v>7</v>
      </c>
      <c r="D12" s="2" t="s">
        <v>1459</v>
      </c>
      <c r="E12" s="2" t="s">
        <v>1439</v>
      </c>
    </row>
    <row r="13" ht="28.8" spans="1:5">
      <c r="A13" s="2" t="s">
        <v>502</v>
      </c>
      <c r="B13" s="2" t="s">
        <v>1460</v>
      </c>
      <c r="C13" s="2">
        <v>6</v>
      </c>
      <c r="D13" s="2" t="s">
        <v>1461</v>
      </c>
      <c r="E13" s="2" t="s">
        <v>1439</v>
      </c>
    </row>
    <row r="14" ht="43.2" spans="1:5">
      <c r="A14" s="2" t="s">
        <v>532</v>
      </c>
      <c r="B14" s="2" t="s">
        <v>1462</v>
      </c>
      <c r="C14" s="2">
        <v>9</v>
      </c>
      <c r="D14" s="2" t="s">
        <v>1463</v>
      </c>
      <c r="E14" s="2" t="s">
        <v>1439</v>
      </c>
    </row>
    <row r="15" ht="57.6" spans="1:5">
      <c r="A15" s="2" t="s">
        <v>102</v>
      </c>
      <c r="B15" s="2" t="s">
        <v>1464</v>
      </c>
      <c r="C15" s="2">
        <v>14</v>
      </c>
      <c r="D15" s="2" t="s">
        <v>1465</v>
      </c>
      <c r="E15" s="2" t="s">
        <v>1439</v>
      </c>
    </row>
    <row r="16" ht="216" spans="1:5">
      <c r="A16" s="2" t="s">
        <v>671</v>
      </c>
      <c r="B16" s="2" t="s">
        <v>1466</v>
      </c>
      <c r="C16" s="2">
        <v>52</v>
      </c>
      <c r="D16" s="2" t="s">
        <v>1467</v>
      </c>
      <c r="E16" s="2" t="s">
        <v>1439</v>
      </c>
    </row>
    <row r="17" ht="158.4" spans="1:5">
      <c r="A17" s="2" t="s">
        <v>950</v>
      </c>
      <c r="B17" s="2" t="s">
        <v>1468</v>
      </c>
      <c r="C17" s="2">
        <v>39</v>
      </c>
      <c r="D17" s="2" t="s">
        <v>1469</v>
      </c>
      <c r="E17" s="2" t="s">
        <v>1439</v>
      </c>
    </row>
    <row r="18" spans="1:5">
      <c r="A18" s="2" t="s">
        <v>1470</v>
      </c>
      <c r="B18" s="2" t="s">
        <v>1471</v>
      </c>
      <c r="C18" s="2">
        <v>0</v>
      </c>
      <c r="D18" s="2" t="s">
        <v>35</v>
      </c>
      <c r="E18" s="2" t="s">
        <v>1472</v>
      </c>
    </row>
    <row r="19" spans="1:5">
      <c r="A19" s="2" t="s">
        <v>1334</v>
      </c>
      <c r="B19" s="2" t="s">
        <v>1473</v>
      </c>
      <c r="C19" s="2">
        <v>1</v>
      </c>
      <c r="D19" s="2" t="s">
        <v>1333</v>
      </c>
      <c r="E19" s="2" t="s">
        <v>1439</v>
      </c>
    </row>
    <row r="20" spans="1:5">
      <c r="A20" s="2" t="s">
        <v>1375</v>
      </c>
      <c r="B20" s="2" t="s">
        <v>1474</v>
      </c>
      <c r="C20" s="2">
        <v>3</v>
      </c>
      <c r="D20" s="2" t="s">
        <v>1475</v>
      </c>
      <c r="E20" s="2" t="s">
        <v>1439</v>
      </c>
    </row>
    <row r="21" ht="28.8" spans="1:5">
      <c r="A21" s="2" t="s">
        <v>1356</v>
      </c>
      <c r="B21" s="2" t="s">
        <v>1476</v>
      </c>
      <c r="C21" s="2">
        <v>3</v>
      </c>
      <c r="D21" s="2" t="s">
        <v>1477</v>
      </c>
      <c r="E21" s="2" t="s">
        <v>1439</v>
      </c>
    </row>
    <row r="22" ht="43.2" spans="1:5">
      <c r="A22" s="2" t="s">
        <v>37</v>
      </c>
      <c r="B22" s="2" t="s">
        <v>1478</v>
      </c>
      <c r="C22" s="2">
        <v>10</v>
      </c>
      <c r="D22" s="2" t="s">
        <v>1479</v>
      </c>
      <c r="E22" s="2" t="s">
        <v>1439</v>
      </c>
    </row>
    <row r="23" ht="28.8" spans="1:5">
      <c r="A23" s="2" t="s">
        <v>95</v>
      </c>
      <c r="B23" s="2" t="s">
        <v>1480</v>
      </c>
      <c r="C23" s="2">
        <v>7</v>
      </c>
      <c r="D23" s="2" t="s">
        <v>1481</v>
      </c>
      <c r="E23" s="2" t="s">
        <v>1439</v>
      </c>
    </row>
    <row r="24" ht="28.8" spans="1:5">
      <c r="A24" s="2" t="s">
        <v>637</v>
      </c>
      <c r="B24" s="2" t="s">
        <v>1482</v>
      </c>
      <c r="C24" s="2">
        <v>5</v>
      </c>
      <c r="D24" s="2" t="s">
        <v>1483</v>
      </c>
      <c r="E24" s="2" t="s">
        <v>1439</v>
      </c>
    </row>
    <row r="25" spans="1:5">
      <c r="A25" s="2" t="s">
        <v>632</v>
      </c>
      <c r="B25" s="2" t="s">
        <v>1484</v>
      </c>
      <c r="C25" s="2">
        <v>1</v>
      </c>
      <c r="D25" s="2" t="s">
        <v>631</v>
      </c>
      <c r="E25" s="2" t="s">
        <v>1439</v>
      </c>
    </row>
    <row r="26" ht="28.8" spans="1:5">
      <c r="A26" s="2" t="s">
        <v>1485</v>
      </c>
      <c r="B26" s="2" t="s">
        <v>1486</v>
      </c>
      <c r="C26" s="2">
        <v>1</v>
      </c>
      <c r="D26" s="2" t="s">
        <v>228</v>
      </c>
      <c r="E26" s="2" t="s">
        <v>1439</v>
      </c>
    </row>
    <row r="27" spans="1:5">
      <c r="A27" s="2" t="s">
        <v>1404</v>
      </c>
      <c r="B27" s="2" t="s">
        <v>1487</v>
      </c>
      <c r="C27" s="2">
        <v>3</v>
      </c>
      <c r="D27" s="2" t="s">
        <v>1488</v>
      </c>
      <c r="E27" s="2" t="s">
        <v>1439</v>
      </c>
    </row>
    <row r="28" ht="28.8" spans="1:5">
      <c r="A28" s="2" t="s">
        <v>1391</v>
      </c>
      <c r="B28" s="2" t="s">
        <v>1489</v>
      </c>
      <c r="C28" s="2">
        <v>2</v>
      </c>
      <c r="D28" s="2" t="s">
        <v>1490</v>
      </c>
      <c r="E28" s="2" t="s">
        <v>1439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3"/>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4.4" outlineLevelCol="5"/>
  <cols>
    <col min="1" max="1" width="10" customWidth="1"/>
    <col min="2" max="2" width="18" customWidth="1"/>
    <col min="3" max="3" width="60" customWidth="1"/>
    <col min="4" max="4" width="12" customWidth="1"/>
    <col min="5" max="5" width="40" customWidth="1"/>
    <col min="6" max="6" width="16" customWidth="1"/>
  </cols>
  <sheetData>
    <row r="1" spans="1:6">
      <c r="A1" s="1" t="s">
        <v>1491</v>
      </c>
      <c r="B1" s="1" t="s">
        <v>2</v>
      </c>
      <c r="C1" s="1" t="s">
        <v>1492</v>
      </c>
      <c r="D1" s="1" t="s">
        <v>1493</v>
      </c>
      <c r="E1" s="1" t="s">
        <v>1435</v>
      </c>
      <c r="F1" s="1" t="s">
        <v>1436</v>
      </c>
    </row>
    <row r="2" ht="28.8" spans="1:6">
      <c r="A2" s="2" t="s">
        <v>1494</v>
      </c>
      <c r="B2" s="2" t="s">
        <v>1495</v>
      </c>
      <c r="C2" s="2" t="s">
        <v>1496</v>
      </c>
      <c r="D2" s="2" t="s">
        <v>25</v>
      </c>
      <c r="E2" s="2" t="s">
        <v>19</v>
      </c>
      <c r="F2" s="2" t="s">
        <v>1439</v>
      </c>
    </row>
    <row r="3" spans="1:6">
      <c r="A3" s="2" t="s">
        <v>1497</v>
      </c>
      <c r="B3" s="2" t="s">
        <v>37</v>
      </c>
      <c r="C3" s="2" t="s">
        <v>1498</v>
      </c>
      <c r="D3" s="2" t="s">
        <v>40</v>
      </c>
      <c r="E3" s="2" t="s">
        <v>36</v>
      </c>
      <c r="F3" s="2" t="s">
        <v>1439</v>
      </c>
    </row>
    <row r="4" spans="1:6">
      <c r="A4" s="2" t="s">
        <v>1499</v>
      </c>
      <c r="B4" s="2" t="s">
        <v>37</v>
      </c>
      <c r="C4" s="2" t="s">
        <v>1500</v>
      </c>
      <c r="D4" s="2" t="s">
        <v>40</v>
      </c>
      <c r="E4" s="2" t="s">
        <v>46</v>
      </c>
      <c r="F4" s="2" t="s">
        <v>1439</v>
      </c>
    </row>
    <row r="5" spans="1:6">
      <c r="A5" s="2" t="s">
        <v>1501</v>
      </c>
      <c r="B5" s="2" t="s">
        <v>37</v>
      </c>
      <c r="C5" s="2" t="s">
        <v>1502</v>
      </c>
      <c r="D5" s="2" t="s">
        <v>40</v>
      </c>
      <c r="E5" s="2" t="s">
        <v>52</v>
      </c>
      <c r="F5" s="2" t="s">
        <v>1439</v>
      </c>
    </row>
    <row r="6" spans="1:6">
      <c r="A6" s="2" t="s">
        <v>1503</v>
      </c>
      <c r="B6" s="2" t="s">
        <v>37</v>
      </c>
      <c r="C6" s="2" t="s">
        <v>1504</v>
      </c>
      <c r="D6" s="2" t="s">
        <v>40</v>
      </c>
      <c r="E6" s="2" t="s">
        <v>56</v>
      </c>
      <c r="F6" s="2" t="s">
        <v>1439</v>
      </c>
    </row>
    <row r="7" spans="1:6">
      <c r="A7" s="2" t="s">
        <v>1505</v>
      </c>
      <c r="B7" s="2" t="s">
        <v>37</v>
      </c>
      <c r="C7" s="2" t="s">
        <v>1506</v>
      </c>
      <c r="D7" s="2" t="s">
        <v>40</v>
      </c>
      <c r="E7" s="2" t="s">
        <v>60</v>
      </c>
      <c r="F7" s="2" t="s">
        <v>1439</v>
      </c>
    </row>
    <row r="8" spans="1:6">
      <c r="A8" s="2" t="s">
        <v>1507</v>
      </c>
      <c r="B8" s="2" t="s">
        <v>37</v>
      </c>
      <c r="C8" s="2" t="s">
        <v>1508</v>
      </c>
      <c r="D8" s="2" t="s">
        <v>40</v>
      </c>
      <c r="E8" s="2" t="s">
        <v>64</v>
      </c>
      <c r="F8" s="2" t="s">
        <v>1439</v>
      </c>
    </row>
    <row r="9" spans="1:6">
      <c r="A9" s="2" t="s">
        <v>1509</v>
      </c>
      <c r="B9" s="2" t="s">
        <v>37</v>
      </c>
      <c r="C9" s="2" t="s">
        <v>1510</v>
      </c>
      <c r="D9" s="2" t="s">
        <v>77</v>
      </c>
      <c r="E9" s="2" t="s">
        <v>73</v>
      </c>
      <c r="F9" s="2" t="s">
        <v>1439</v>
      </c>
    </row>
    <row r="10" spans="1:6">
      <c r="A10" s="2" t="s">
        <v>1511</v>
      </c>
      <c r="B10" s="2" t="s">
        <v>37</v>
      </c>
      <c r="C10" s="2" t="s">
        <v>1512</v>
      </c>
      <c r="D10" s="2" t="s">
        <v>77</v>
      </c>
      <c r="E10" s="2" t="s">
        <v>81</v>
      </c>
      <c r="F10" s="2" t="s">
        <v>1439</v>
      </c>
    </row>
    <row r="11" spans="1:6">
      <c r="A11" s="2" t="s">
        <v>1513</v>
      </c>
      <c r="B11" s="2" t="s">
        <v>37</v>
      </c>
      <c r="C11" s="2" t="s">
        <v>1514</v>
      </c>
      <c r="D11" s="2" t="s">
        <v>40</v>
      </c>
      <c r="E11" s="2" t="s">
        <v>88</v>
      </c>
      <c r="F11" s="2" t="s">
        <v>1439</v>
      </c>
    </row>
    <row r="12" spans="1:6">
      <c r="A12" s="2" t="s">
        <v>1515</v>
      </c>
      <c r="B12" s="2" t="s">
        <v>95</v>
      </c>
      <c r="C12" s="2" t="s">
        <v>1516</v>
      </c>
      <c r="D12" s="2" t="s">
        <v>40</v>
      </c>
      <c r="E12" s="2" t="s">
        <v>94</v>
      </c>
      <c r="F12" s="2" t="s">
        <v>1439</v>
      </c>
    </row>
    <row r="13" spans="1:6">
      <c r="A13" s="2" t="s">
        <v>1517</v>
      </c>
      <c r="B13" s="2" t="s">
        <v>102</v>
      </c>
      <c r="C13" s="2" t="s">
        <v>1518</v>
      </c>
      <c r="D13" s="2" t="s">
        <v>105</v>
      </c>
      <c r="E13" s="2" t="s">
        <v>101</v>
      </c>
      <c r="F13" s="2" t="s">
        <v>1439</v>
      </c>
    </row>
    <row r="14" spans="1:6">
      <c r="A14" s="2" t="s">
        <v>1519</v>
      </c>
      <c r="B14" s="2" t="s">
        <v>113</v>
      </c>
      <c r="C14" s="2" t="s">
        <v>1520</v>
      </c>
      <c r="D14" s="2" t="s">
        <v>116</v>
      </c>
      <c r="E14" s="2" t="s">
        <v>111</v>
      </c>
      <c r="F14" s="2" t="s">
        <v>1439</v>
      </c>
    </row>
    <row r="15" spans="1:6">
      <c r="A15" s="2" t="s">
        <v>1521</v>
      </c>
      <c r="B15" s="2" t="s">
        <v>113</v>
      </c>
      <c r="C15" s="2" t="s">
        <v>1522</v>
      </c>
      <c r="D15" s="2" t="s">
        <v>40</v>
      </c>
      <c r="E15" s="2" t="s">
        <v>123</v>
      </c>
      <c r="F15" s="2" t="s">
        <v>1439</v>
      </c>
    </row>
    <row r="16" ht="28.8" spans="1:6">
      <c r="A16" s="2" t="s">
        <v>1523</v>
      </c>
      <c r="B16" s="2" t="s">
        <v>113</v>
      </c>
      <c r="C16" s="2" t="s">
        <v>1524</v>
      </c>
      <c r="D16" s="2" t="s">
        <v>116</v>
      </c>
      <c r="E16" s="2" t="s">
        <v>130</v>
      </c>
      <c r="F16" s="2" t="s">
        <v>1439</v>
      </c>
    </row>
    <row r="17" spans="1:6">
      <c r="A17" s="2" t="s">
        <v>1525</v>
      </c>
      <c r="B17" s="2" t="s">
        <v>113</v>
      </c>
      <c r="C17" s="2" t="s">
        <v>1526</v>
      </c>
      <c r="D17" s="2" t="s">
        <v>140</v>
      </c>
      <c r="E17" s="2" t="s">
        <v>137</v>
      </c>
      <c r="F17" s="2" t="s">
        <v>1439</v>
      </c>
    </row>
    <row r="18" spans="1:6">
      <c r="A18" s="2" t="s">
        <v>1527</v>
      </c>
      <c r="B18" s="2" t="s">
        <v>113</v>
      </c>
      <c r="C18" s="2" t="s">
        <v>1528</v>
      </c>
      <c r="D18" s="2" t="s">
        <v>116</v>
      </c>
      <c r="E18" s="2" t="s">
        <v>147</v>
      </c>
      <c r="F18" s="2" t="s">
        <v>1439</v>
      </c>
    </row>
    <row r="19" spans="1:6">
      <c r="A19" s="2" t="s">
        <v>1529</v>
      </c>
      <c r="B19" s="2" t="s">
        <v>113</v>
      </c>
      <c r="C19" s="2" t="s">
        <v>1530</v>
      </c>
      <c r="D19" s="2" t="s">
        <v>116</v>
      </c>
      <c r="E19" s="2" t="s">
        <v>155</v>
      </c>
      <c r="F19" s="2" t="s">
        <v>1439</v>
      </c>
    </row>
    <row r="20" ht="28.8" spans="1:6">
      <c r="A20" s="2" t="s">
        <v>1531</v>
      </c>
      <c r="B20" s="2" t="s">
        <v>1532</v>
      </c>
      <c r="C20" s="2" t="s">
        <v>1533</v>
      </c>
      <c r="D20" s="2" t="s">
        <v>40</v>
      </c>
      <c r="E20" s="2" t="s">
        <v>160</v>
      </c>
      <c r="F20" s="2" t="s">
        <v>1439</v>
      </c>
    </row>
    <row r="21" spans="1:6">
      <c r="A21" s="2" t="s">
        <v>1534</v>
      </c>
      <c r="B21" s="2" t="s">
        <v>113</v>
      </c>
      <c r="C21" s="2" t="s">
        <v>1535</v>
      </c>
      <c r="D21" s="2" t="s">
        <v>40</v>
      </c>
      <c r="E21" s="2" t="s">
        <v>169</v>
      </c>
      <c r="F21" s="2" t="s">
        <v>1439</v>
      </c>
    </row>
    <row r="22" spans="1:6">
      <c r="A22" s="2" t="s">
        <v>1536</v>
      </c>
      <c r="B22" s="2" t="s">
        <v>113</v>
      </c>
      <c r="C22" s="2" t="s">
        <v>1537</v>
      </c>
      <c r="D22" s="2" t="s">
        <v>40</v>
      </c>
      <c r="E22" s="2" t="s">
        <v>173</v>
      </c>
      <c r="F22" s="2" t="s">
        <v>1439</v>
      </c>
    </row>
    <row r="23" spans="1:6">
      <c r="A23" s="2" t="s">
        <v>1538</v>
      </c>
      <c r="B23" s="2" t="s">
        <v>113</v>
      </c>
      <c r="C23" s="2" t="s">
        <v>1539</v>
      </c>
      <c r="D23" s="2" t="s">
        <v>40</v>
      </c>
      <c r="E23" s="2" t="s">
        <v>181</v>
      </c>
      <c r="F23" s="2" t="s">
        <v>1439</v>
      </c>
    </row>
    <row r="24" spans="1:6">
      <c r="A24" s="2" t="s">
        <v>1540</v>
      </c>
      <c r="B24" s="2" t="s">
        <v>113</v>
      </c>
      <c r="C24" s="2" t="s">
        <v>1541</v>
      </c>
      <c r="D24" s="2" t="s">
        <v>77</v>
      </c>
      <c r="E24" s="2" t="s">
        <v>188</v>
      </c>
      <c r="F24" s="2" t="s">
        <v>1439</v>
      </c>
    </row>
    <row r="25" spans="1:6">
      <c r="A25" s="2" t="s">
        <v>1542</v>
      </c>
      <c r="B25" s="2" t="s">
        <v>113</v>
      </c>
      <c r="C25" s="2" t="s">
        <v>1543</v>
      </c>
      <c r="D25" s="2" t="s">
        <v>77</v>
      </c>
      <c r="E25" s="2" t="s">
        <v>194</v>
      </c>
      <c r="F25" s="2" t="s">
        <v>1439</v>
      </c>
    </row>
    <row r="26" spans="1:6">
      <c r="A26" s="2" t="s">
        <v>1544</v>
      </c>
      <c r="B26" s="2" t="s">
        <v>113</v>
      </c>
      <c r="C26" s="2" t="s">
        <v>1545</v>
      </c>
      <c r="D26" s="2" t="s">
        <v>116</v>
      </c>
      <c r="E26" s="2" t="s">
        <v>200</v>
      </c>
      <c r="F26" s="2" t="s">
        <v>1439</v>
      </c>
    </row>
    <row r="27" spans="1:6">
      <c r="A27" s="2" t="s">
        <v>1546</v>
      </c>
      <c r="B27" s="2" t="s">
        <v>113</v>
      </c>
      <c r="C27" s="2" t="s">
        <v>1547</v>
      </c>
      <c r="D27" s="2" t="s">
        <v>116</v>
      </c>
      <c r="E27" s="2" t="s">
        <v>207</v>
      </c>
      <c r="F27" s="2" t="s">
        <v>1439</v>
      </c>
    </row>
    <row r="28" ht="28.8" spans="1:6">
      <c r="A28" s="2" t="s">
        <v>1548</v>
      </c>
      <c r="B28" s="2" t="s">
        <v>1549</v>
      </c>
      <c r="C28" s="2" t="s">
        <v>1550</v>
      </c>
      <c r="D28" s="2" t="s">
        <v>116</v>
      </c>
      <c r="E28" s="2" t="s">
        <v>214</v>
      </c>
      <c r="F28" s="2" t="s">
        <v>1439</v>
      </c>
    </row>
    <row r="29" spans="1:6">
      <c r="A29" s="2" t="s">
        <v>1551</v>
      </c>
      <c r="B29" s="2" t="s">
        <v>113</v>
      </c>
      <c r="C29" s="2" t="s">
        <v>1552</v>
      </c>
      <c r="D29" s="2" t="s">
        <v>40</v>
      </c>
      <c r="E29" s="2" t="s">
        <v>222</v>
      </c>
      <c r="F29" s="2" t="s">
        <v>1439</v>
      </c>
    </row>
    <row r="30" ht="28.8" spans="1:6">
      <c r="A30" s="2" t="s">
        <v>1553</v>
      </c>
      <c r="B30" s="2" t="s">
        <v>1554</v>
      </c>
      <c r="C30" s="2" t="s">
        <v>1555</v>
      </c>
      <c r="D30" s="2" t="s">
        <v>116</v>
      </c>
      <c r="E30" s="2" t="s">
        <v>228</v>
      </c>
      <c r="F30" s="2" t="s">
        <v>1439</v>
      </c>
    </row>
    <row r="31" spans="1:6">
      <c r="A31" s="2" t="s">
        <v>1556</v>
      </c>
      <c r="B31" s="2" t="s">
        <v>113</v>
      </c>
      <c r="C31" s="2" t="s">
        <v>1557</v>
      </c>
      <c r="D31" s="2" t="s">
        <v>105</v>
      </c>
      <c r="E31" s="2" t="s">
        <v>235</v>
      </c>
      <c r="F31" s="2" t="s">
        <v>1439</v>
      </c>
    </row>
    <row r="32" spans="1:6">
      <c r="A32" s="2" t="s">
        <v>1558</v>
      </c>
      <c r="B32" s="2" t="s">
        <v>102</v>
      </c>
      <c r="C32" s="2" t="s">
        <v>1559</v>
      </c>
      <c r="D32" s="2" t="s">
        <v>105</v>
      </c>
      <c r="E32" s="2" t="s">
        <v>240</v>
      </c>
      <c r="F32" s="2" t="s">
        <v>1439</v>
      </c>
    </row>
    <row r="33" spans="1:6">
      <c r="A33" s="2" t="s">
        <v>1560</v>
      </c>
      <c r="B33" s="2" t="s">
        <v>274</v>
      </c>
      <c r="C33" s="2" t="s">
        <v>1561</v>
      </c>
      <c r="D33" s="2" t="s">
        <v>40</v>
      </c>
      <c r="E33" s="2" t="s">
        <v>272</v>
      </c>
      <c r="F33" s="2" t="s">
        <v>1439</v>
      </c>
    </row>
    <row r="34" spans="1:6">
      <c r="A34" s="2" t="s">
        <v>1562</v>
      </c>
      <c r="B34" s="2" t="s">
        <v>274</v>
      </c>
      <c r="C34" s="2" t="s">
        <v>1563</v>
      </c>
      <c r="D34" s="2" t="s">
        <v>40</v>
      </c>
      <c r="E34" s="2" t="s">
        <v>280</v>
      </c>
      <c r="F34" s="2" t="s">
        <v>1439</v>
      </c>
    </row>
    <row r="35" ht="28.8" spans="1:6">
      <c r="A35" s="2" t="s">
        <v>1564</v>
      </c>
      <c r="B35" s="2" t="s">
        <v>1565</v>
      </c>
      <c r="C35" s="2" t="s">
        <v>1566</v>
      </c>
      <c r="D35" s="2" t="s">
        <v>140</v>
      </c>
      <c r="E35" s="2" t="s">
        <v>287</v>
      </c>
      <c r="F35" s="2" t="s">
        <v>1439</v>
      </c>
    </row>
    <row r="36" ht="28.8" spans="1:6">
      <c r="A36" s="2" t="s">
        <v>1567</v>
      </c>
      <c r="B36" s="2" t="s">
        <v>1568</v>
      </c>
      <c r="C36" s="2" t="s">
        <v>1569</v>
      </c>
      <c r="D36" s="2" t="s">
        <v>40</v>
      </c>
      <c r="E36" s="2" t="s">
        <v>295</v>
      </c>
      <c r="F36" s="2" t="s">
        <v>1439</v>
      </c>
    </row>
    <row r="37" spans="1:6">
      <c r="A37" s="2" t="s">
        <v>1570</v>
      </c>
      <c r="B37" s="2" t="s">
        <v>274</v>
      </c>
      <c r="C37" s="2" t="s">
        <v>1571</v>
      </c>
      <c r="D37" s="2" t="s">
        <v>105</v>
      </c>
      <c r="E37" s="2" t="s">
        <v>315</v>
      </c>
      <c r="F37" s="2" t="s">
        <v>1439</v>
      </c>
    </row>
    <row r="38" spans="1:6">
      <c r="A38" s="2" t="s">
        <v>1572</v>
      </c>
      <c r="B38" s="2" t="s">
        <v>274</v>
      </c>
      <c r="C38" s="2" t="s">
        <v>1573</v>
      </c>
      <c r="D38" s="2" t="s">
        <v>324</v>
      </c>
      <c r="E38" s="2" t="s">
        <v>322</v>
      </c>
      <c r="F38" s="2" t="s">
        <v>1439</v>
      </c>
    </row>
    <row r="39" spans="1:6">
      <c r="A39" s="2" t="s">
        <v>1574</v>
      </c>
      <c r="B39" s="2" t="s">
        <v>274</v>
      </c>
      <c r="C39" s="2" t="s">
        <v>1575</v>
      </c>
      <c r="D39" s="2" t="s">
        <v>40</v>
      </c>
      <c r="E39" s="2" t="s">
        <v>302</v>
      </c>
      <c r="F39" s="2" t="s">
        <v>1439</v>
      </c>
    </row>
    <row r="40" ht="28.8" spans="1:6">
      <c r="A40" s="2" t="s">
        <v>1576</v>
      </c>
      <c r="B40" s="2" t="s">
        <v>274</v>
      </c>
      <c r="C40" s="2" t="s">
        <v>1577</v>
      </c>
      <c r="D40" s="2" t="s">
        <v>40</v>
      </c>
      <c r="E40" s="2" t="s">
        <v>329</v>
      </c>
      <c r="F40" s="2" t="s">
        <v>1439</v>
      </c>
    </row>
    <row r="41" spans="1:6">
      <c r="A41" s="2" t="s">
        <v>1578</v>
      </c>
      <c r="B41" s="2" t="s">
        <v>274</v>
      </c>
      <c r="C41" s="2" t="s">
        <v>1579</v>
      </c>
      <c r="D41" s="2" t="s">
        <v>40</v>
      </c>
      <c r="E41" s="2" t="s">
        <v>336</v>
      </c>
      <c r="F41" s="2" t="s">
        <v>1439</v>
      </c>
    </row>
    <row r="42" spans="1:6">
      <c r="A42" s="2" t="s">
        <v>1580</v>
      </c>
      <c r="B42" s="2" t="s">
        <v>274</v>
      </c>
      <c r="C42" s="2" t="s">
        <v>1581</v>
      </c>
      <c r="D42" s="2" t="s">
        <v>105</v>
      </c>
      <c r="E42" s="2" t="s">
        <v>342</v>
      </c>
      <c r="F42" s="2" t="s">
        <v>1439</v>
      </c>
    </row>
    <row r="43" spans="1:6">
      <c r="A43" s="2" t="s">
        <v>1582</v>
      </c>
      <c r="B43" s="2" t="s">
        <v>274</v>
      </c>
      <c r="C43" s="2" t="s">
        <v>1583</v>
      </c>
      <c r="D43" s="2" t="s">
        <v>40</v>
      </c>
      <c r="E43" s="2" t="s">
        <v>348</v>
      </c>
      <c r="F43" s="2" t="s">
        <v>1439</v>
      </c>
    </row>
    <row r="44" spans="1:6">
      <c r="A44" s="2" t="s">
        <v>1584</v>
      </c>
      <c r="B44" s="2" t="s">
        <v>274</v>
      </c>
      <c r="C44" s="2" t="s">
        <v>1585</v>
      </c>
      <c r="D44" s="2" t="s">
        <v>40</v>
      </c>
      <c r="E44" s="2" t="s">
        <v>308</v>
      </c>
      <c r="F44" s="2" t="s">
        <v>1439</v>
      </c>
    </row>
    <row r="45" spans="1:6">
      <c r="A45" s="2" t="s">
        <v>1586</v>
      </c>
      <c r="B45" s="2" t="s">
        <v>274</v>
      </c>
      <c r="C45" s="2" t="s">
        <v>1587</v>
      </c>
      <c r="D45" s="2" t="s">
        <v>77</v>
      </c>
      <c r="E45" s="2" t="s">
        <v>354</v>
      </c>
      <c r="F45" s="2" t="s">
        <v>1439</v>
      </c>
    </row>
    <row r="46" spans="1:6">
      <c r="A46" s="2" t="s">
        <v>1588</v>
      </c>
      <c r="B46" s="2" t="s">
        <v>274</v>
      </c>
      <c r="C46" s="2" t="s">
        <v>1589</v>
      </c>
      <c r="D46" s="2" t="s">
        <v>77</v>
      </c>
      <c r="E46" s="2" t="s">
        <v>360</v>
      </c>
      <c r="F46" s="2" t="s">
        <v>1439</v>
      </c>
    </row>
    <row r="47" spans="1:6">
      <c r="A47" s="2" t="s">
        <v>1590</v>
      </c>
      <c r="B47" s="2" t="s">
        <v>274</v>
      </c>
      <c r="C47" s="2" t="s">
        <v>1591</v>
      </c>
      <c r="D47" s="2" t="s">
        <v>105</v>
      </c>
      <c r="E47" s="2" t="s">
        <v>365</v>
      </c>
      <c r="F47" s="2" t="s">
        <v>1439</v>
      </c>
    </row>
    <row r="48" spans="1:6">
      <c r="A48" s="2" t="s">
        <v>1592</v>
      </c>
      <c r="B48" s="2" t="s">
        <v>274</v>
      </c>
      <c r="C48" s="2" t="s">
        <v>1593</v>
      </c>
      <c r="D48" s="2" t="s">
        <v>40</v>
      </c>
      <c r="E48" s="2" t="s">
        <v>370</v>
      </c>
      <c r="F48" s="2" t="s">
        <v>1439</v>
      </c>
    </row>
    <row r="49" spans="1:6">
      <c r="A49" s="2" t="s">
        <v>1594</v>
      </c>
      <c r="B49" s="2" t="s">
        <v>385</v>
      </c>
      <c r="C49" s="2" t="s">
        <v>1595</v>
      </c>
      <c r="D49" s="2" t="s">
        <v>40</v>
      </c>
      <c r="E49" s="2" t="s">
        <v>383</v>
      </c>
      <c r="F49" s="2" t="s">
        <v>1439</v>
      </c>
    </row>
    <row r="50" spans="1:6">
      <c r="A50" s="2" t="s">
        <v>1596</v>
      </c>
      <c r="B50" s="2" t="s">
        <v>385</v>
      </c>
      <c r="C50" s="2" t="s">
        <v>1597</v>
      </c>
      <c r="D50" s="2" t="s">
        <v>40</v>
      </c>
      <c r="E50" s="2" t="s">
        <v>389</v>
      </c>
      <c r="F50" s="2" t="s">
        <v>1439</v>
      </c>
    </row>
    <row r="51" spans="1:6">
      <c r="A51" s="2" t="s">
        <v>1598</v>
      </c>
      <c r="B51" s="2" t="s">
        <v>385</v>
      </c>
      <c r="C51" s="2" t="s">
        <v>1599</v>
      </c>
      <c r="D51" s="2" t="s">
        <v>40</v>
      </c>
      <c r="E51" s="2" t="s">
        <v>396</v>
      </c>
      <c r="F51" s="2" t="s">
        <v>1439</v>
      </c>
    </row>
    <row r="52" spans="1:6">
      <c r="A52" s="2" t="s">
        <v>1600</v>
      </c>
      <c r="B52" s="2" t="s">
        <v>385</v>
      </c>
      <c r="C52" s="2" t="s">
        <v>1601</v>
      </c>
      <c r="D52" s="2" t="s">
        <v>140</v>
      </c>
      <c r="E52" s="2" t="s">
        <v>401</v>
      </c>
      <c r="F52" s="2" t="s">
        <v>1439</v>
      </c>
    </row>
    <row r="53" spans="1:6">
      <c r="A53" s="2" t="s">
        <v>1602</v>
      </c>
      <c r="B53" s="2" t="s">
        <v>410</v>
      </c>
      <c r="C53" s="2" t="s">
        <v>1603</v>
      </c>
      <c r="D53" s="2" t="s">
        <v>40</v>
      </c>
      <c r="E53" s="2" t="s">
        <v>408</v>
      </c>
      <c r="F53" s="2" t="s">
        <v>1439</v>
      </c>
    </row>
    <row r="54" spans="1:6">
      <c r="A54" s="2" t="s">
        <v>1604</v>
      </c>
      <c r="B54" s="2" t="s">
        <v>410</v>
      </c>
      <c r="C54" s="2" t="s">
        <v>1605</v>
      </c>
      <c r="D54" s="2" t="s">
        <v>40</v>
      </c>
      <c r="E54" s="2" t="s">
        <v>415</v>
      </c>
      <c r="F54" s="2" t="s">
        <v>1439</v>
      </c>
    </row>
    <row r="55" spans="1:6">
      <c r="A55" s="2" t="s">
        <v>1606</v>
      </c>
      <c r="B55" s="2" t="s">
        <v>410</v>
      </c>
      <c r="C55" s="2" t="s">
        <v>1607</v>
      </c>
      <c r="D55" s="2" t="s">
        <v>140</v>
      </c>
      <c r="E55" s="2" t="s">
        <v>422</v>
      </c>
      <c r="F55" s="2" t="s">
        <v>1439</v>
      </c>
    </row>
    <row r="56" ht="28.8" spans="1:6">
      <c r="A56" s="2" t="s">
        <v>1608</v>
      </c>
      <c r="B56" s="2" t="s">
        <v>1609</v>
      </c>
      <c r="C56" s="2" t="s">
        <v>1610</v>
      </c>
      <c r="D56" s="2" t="s">
        <v>40</v>
      </c>
      <c r="E56" s="2" t="s">
        <v>430</v>
      </c>
      <c r="F56" s="2" t="s">
        <v>1439</v>
      </c>
    </row>
    <row r="57" spans="1:6">
      <c r="A57" s="2" t="s">
        <v>1611</v>
      </c>
      <c r="B57" s="2" t="s">
        <v>410</v>
      </c>
      <c r="C57" s="2" t="s">
        <v>1612</v>
      </c>
      <c r="D57" s="2" t="s">
        <v>140</v>
      </c>
      <c r="E57" s="2" t="s">
        <v>437</v>
      </c>
      <c r="F57" s="2" t="s">
        <v>1439</v>
      </c>
    </row>
    <row r="58" ht="28.8" spans="1:6">
      <c r="A58" s="2" t="s">
        <v>1613</v>
      </c>
      <c r="B58" s="2" t="s">
        <v>444</v>
      </c>
      <c r="C58" s="2" t="s">
        <v>1614</v>
      </c>
      <c r="D58" s="2" t="s">
        <v>40</v>
      </c>
      <c r="E58" s="2" t="s">
        <v>442</v>
      </c>
      <c r="F58" s="2" t="s">
        <v>1439</v>
      </c>
    </row>
    <row r="59" spans="1:6">
      <c r="A59" s="2" t="s">
        <v>1615</v>
      </c>
      <c r="B59" s="2" t="s">
        <v>444</v>
      </c>
      <c r="C59" s="2" t="s">
        <v>1616</v>
      </c>
      <c r="D59" s="2" t="s">
        <v>140</v>
      </c>
      <c r="E59" s="2" t="s">
        <v>449</v>
      </c>
      <c r="F59" s="2" t="s">
        <v>1439</v>
      </c>
    </row>
    <row r="60" spans="1:6">
      <c r="A60" s="2" t="s">
        <v>1617</v>
      </c>
      <c r="B60" s="2" t="s">
        <v>444</v>
      </c>
      <c r="C60" s="2" t="s">
        <v>1618</v>
      </c>
      <c r="D60" s="2" t="s">
        <v>40</v>
      </c>
      <c r="E60" s="2" t="s">
        <v>454</v>
      </c>
      <c r="F60" s="2" t="s">
        <v>1439</v>
      </c>
    </row>
    <row r="61" spans="1:6">
      <c r="A61" s="2" t="s">
        <v>1619</v>
      </c>
      <c r="B61" s="2" t="s">
        <v>461</v>
      </c>
      <c r="C61" s="2" t="s">
        <v>1620</v>
      </c>
      <c r="D61" s="2" t="s">
        <v>40</v>
      </c>
      <c r="E61" s="2" t="s">
        <v>459</v>
      </c>
      <c r="F61" s="2" t="s">
        <v>1439</v>
      </c>
    </row>
    <row r="62" spans="1:6">
      <c r="A62" s="2" t="s">
        <v>1621</v>
      </c>
      <c r="B62" s="2" t="s">
        <v>461</v>
      </c>
      <c r="C62" s="2" t="s">
        <v>1622</v>
      </c>
      <c r="D62" s="2" t="s">
        <v>40</v>
      </c>
      <c r="E62" s="2" t="s">
        <v>465</v>
      </c>
      <c r="F62" s="2" t="s">
        <v>1439</v>
      </c>
    </row>
    <row r="63" spans="1:6">
      <c r="A63" s="2" t="s">
        <v>1623</v>
      </c>
      <c r="B63" s="2" t="s">
        <v>461</v>
      </c>
      <c r="C63" s="2" t="s">
        <v>1624</v>
      </c>
      <c r="D63" s="2" t="s">
        <v>40</v>
      </c>
      <c r="E63" s="2" t="s">
        <v>471</v>
      </c>
      <c r="F63" s="2" t="s">
        <v>1439</v>
      </c>
    </row>
    <row r="64" spans="1:6">
      <c r="A64" s="2" t="s">
        <v>1625</v>
      </c>
      <c r="B64" s="2" t="s">
        <v>461</v>
      </c>
      <c r="C64" s="2" t="s">
        <v>1626</v>
      </c>
      <c r="D64" s="2" t="s">
        <v>40</v>
      </c>
      <c r="E64" s="2" t="s">
        <v>478</v>
      </c>
      <c r="F64" s="2" t="s">
        <v>1439</v>
      </c>
    </row>
    <row r="65" spans="1:6">
      <c r="A65" s="2" t="s">
        <v>1627</v>
      </c>
      <c r="B65" s="2" t="s">
        <v>461</v>
      </c>
      <c r="C65" s="2" t="s">
        <v>1628</v>
      </c>
      <c r="D65" s="2" t="s">
        <v>40</v>
      </c>
      <c r="E65" s="2" t="s">
        <v>484</v>
      </c>
      <c r="F65" s="2" t="s">
        <v>1439</v>
      </c>
    </row>
    <row r="66" spans="1:6">
      <c r="A66" s="2" t="s">
        <v>1629</v>
      </c>
      <c r="B66" s="2" t="s">
        <v>461</v>
      </c>
      <c r="C66" s="2" t="s">
        <v>1630</v>
      </c>
      <c r="D66" s="2" t="s">
        <v>40</v>
      </c>
      <c r="E66" s="2" t="s">
        <v>490</v>
      </c>
      <c r="F66" s="2" t="s">
        <v>1439</v>
      </c>
    </row>
    <row r="67" spans="1:6">
      <c r="A67" s="2" t="s">
        <v>1631</v>
      </c>
      <c r="B67" s="2" t="s">
        <v>461</v>
      </c>
      <c r="C67" s="2" t="s">
        <v>1632</v>
      </c>
      <c r="D67" s="2" t="s">
        <v>140</v>
      </c>
      <c r="E67" s="2" t="s">
        <v>496</v>
      </c>
      <c r="F67" s="2" t="s">
        <v>1439</v>
      </c>
    </row>
    <row r="68" spans="1:6">
      <c r="A68" s="2" t="s">
        <v>1633</v>
      </c>
      <c r="B68" s="2" t="s">
        <v>502</v>
      </c>
      <c r="C68" s="2" t="s">
        <v>1634</v>
      </c>
      <c r="D68" s="2" t="s">
        <v>40</v>
      </c>
      <c r="E68" s="2" t="s">
        <v>500</v>
      </c>
      <c r="F68" s="2" t="s">
        <v>1439</v>
      </c>
    </row>
    <row r="69" spans="1:6">
      <c r="A69" s="2" t="s">
        <v>1635</v>
      </c>
      <c r="B69" s="2" t="s">
        <v>502</v>
      </c>
      <c r="C69" s="2" t="s">
        <v>1636</v>
      </c>
      <c r="D69" s="2" t="s">
        <v>40</v>
      </c>
      <c r="E69" s="2" t="s">
        <v>507</v>
      </c>
      <c r="F69" s="2" t="s">
        <v>1439</v>
      </c>
    </row>
    <row r="70" spans="1:6">
      <c r="A70" s="2" t="s">
        <v>1637</v>
      </c>
      <c r="B70" s="2" t="s">
        <v>502</v>
      </c>
      <c r="C70" s="2" t="s">
        <v>1638</v>
      </c>
      <c r="D70" s="2" t="s">
        <v>40</v>
      </c>
      <c r="E70" s="2" t="s">
        <v>512</v>
      </c>
      <c r="F70" s="2" t="s">
        <v>1439</v>
      </c>
    </row>
    <row r="71" spans="1:6">
      <c r="A71" s="2" t="s">
        <v>1639</v>
      </c>
      <c r="B71" s="2" t="s">
        <v>502</v>
      </c>
      <c r="C71" s="2" t="s">
        <v>1640</v>
      </c>
      <c r="D71" s="2" t="s">
        <v>140</v>
      </c>
      <c r="E71" s="2" t="s">
        <v>520</v>
      </c>
      <c r="F71" s="2" t="s">
        <v>1439</v>
      </c>
    </row>
    <row r="72" spans="1:6">
      <c r="A72" s="2" t="s">
        <v>1641</v>
      </c>
      <c r="B72" s="2" t="s">
        <v>502</v>
      </c>
      <c r="C72" s="2" t="s">
        <v>1642</v>
      </c>
      <c r="D72" s="2" t="s">
        <v>40</v>
      </c>
      <c r="E72" s="2" t="s">
        <v>525</v>
      </c>
      <c r="F72" s="2" t="s">
        <v>1439</v>
      </c>
    </row>
    <row r="73" spans="1:6">
      <c r="A73" s="2" t="s">
        <v>1643</v>
      </c>
      <c r="B73" s="2" t="s">
        <v>532</v>
      </c>
      <c r="C73" s="2" t="s">
        <v>1644</v>
      </c>
      <c r="D73" s="2" t="s">
        <v>40</v>
      </c>
      <c r="E73" s="2" t="s">
        <v>530</v>
      </c>
      <c r="F73" s="2" t="s">
        <v>1439</v>
      </c>
    </row>
    <row r="74" spans="1:6">
      <c r="A74" s="2" t="s">
        <v>1645</v>
      </c>
      <c r="B74" s="2" t="s">
        <v>532</v>
      </c>
      <c r="C74" s="2" t="s">
        <v>1646</v>
      </c>
      <c r="D74" s="2" t="s">
        <v>40</v>
      </c>
      <c r="E74" s="2" t="s">
        <v>536</v>
      </c>
      <c r="F74" s="2" t="s">
        <v>1439</v>
      </c>
    </row>
    <row r="75" spans="1:6">
      <c r="A75" s="2" t="s">
        <v>1647</v>
      </c>
      <c r="B75" s="2" t="s">
        <v>532</v>
      </c>
      <c r="C75" s="2" t="s">
        <v>1648</v>
      </c>
      <c r="D75" s="2" t="s">
        <v>40</v>
      </c>
      <c r="E75" s="2" t="s">
        <v>540</v>
      </c>
      <c r="F75" s="2" t="s">
        <v>1439</v>
      </c>
    </row>
    <row r="76" spans="1:6">
      <c r="A76" s="2" t="s">
        <v>1649</v>
      </c>
      <c r="B76" s="2" t="s">
        <v>532</v>
      </c>
      <c r="C76" s="2" t="s">
        <v>1650</v>
      </c>
      <c r="D76" s="2" t="s">
        <v>140</v>
      </c>
      <c r="E76" s="2" t="s">
        <v>545</v>
      </c>
      <c r="F76" s="2" t="s">
        <v>1439</v>
      </c>
    </row>
    <row r="77" spans="1:6">
      <c r="A77" s="2" t="s">
        <v>1651</v>
      </c>
      <c r="B77" s="2" t="s">
        <v>532</v>
      </c>
      <c r="C77" s="2" t="s">
        <v>1652</v>
      </c>
      <c r="D77" s="2" t="s">
        <v>40</v>
      </c>
      <c r="E77" s="2" t="s">
        <v>550</v>
      </c>
      <c r="F77" s="2" t="s">
        <v>1439</v>
      </c>
    </row>
    <row r="78" spans="1:6">
      <c r="A78" s="2" t="s">
        <v>1653</v>
      </c>
      <c r="B78" s="2" t="s">
        <v>532</v>
      </c>
      <c r="C78" s="2" t="s">
        <v>1654</v>
      </c>
      <c r="D78" s="2" t="s">
        <v>140</v>
      </c>
      <c r="E78" s="2" t="s">
        <v>555</v>
      </c>
      <c r="F78" s="2" t="s">
        <v>1439</v>
      </c>
    </row>
    <row r="79" spans="1:6">
      <c r="A79" s="2" t="s">
        <v>1655</v>
      </c>
      <c r="B79" s="2" t="s">
        <v>532</v>
      </c>
      <c r="C79" s="2" t="s">
        <v>1656</v>
      </c>
      <c r="D79" s="2" t="s">
        <v>40</v>
      </c>
      <c r="E79" s="2" t="s">
        <v>561</v>
      </c>
      <c r="F79" s="2" t="s">
        <v>1439</v>
      </c>
    </row>
    <row r="80" ht="72" spans="1:6">
      <c r="A80" s="2" t="s">
        <v>1657</v>
      </c>
      <c r="B80" s="2" t="s">
        <v>1658</v>
      </c>
      <c r="C80" s="2" t="s">
        <v>1659</v>
      </c>
      <c r="D80" s="2" t="s">
        <v>40</v>
      </c>
      <c r="E80" s="2" t="s">
        <v>566</v>
      </c>
      <c r="F80" s="2" t="s">
        <v>1439</v>
      </c>
    </row>
    <row r="81" spans="1:6">
      <c r="A81" s="2" t="s">
        <v>1660</v>
      </c>
      <c r="B81" s="2" t="s">
        <v>102</v>
      </c>
      <c r="C81" s="2" t="s">
        <v>1661</v>
      </c>
      <c r="D81" s="2" t="s">
        <v>40</v>
      </c>
      <c r="E81" s="2" t="s">
        <v>575</v>
      </c>
      <c r="F81" s="2" t="s">
        <v>1439</v>
      </c>
    </row>
    <row r="82" spans="1:6">
      <c r="A82" s="2" t="s">
        <v>1662</v>
      </c>
      <c r="B82" s="2" t="s">
        <v>102</v>
      </c>
      <c r="C82" s="2" t="s">
        <v>1663</v>
      </c>
      <c r="D82" s="2" t="s">
        <v>77</v>
      </c>
      <c r="E82" s="2" t="s">
        <v>579</v>
      </c>
      <c r="F82" s="2" t="s">
        <v>1439</v>
      </c>
    </row>
    <row r="83" spans="1:6">
      <c r="A83" s="2" t="s">
        <v>1664</v>
      </c>
      <c r="B83" s="2" t="s">
        <v>102</v>
      </c>
      <c r="C83" s="2" t="s">
        <v>1665</v>
      </c>
      <c r="D83" s="2" t="s">
        <v>40</v>
      </c>
      <c r="E83" s="2" t="s">
        <v>584</v>
      </c>
      <c r="F83" s="2" t="s">
        <v>1439</v>
      </c>
    </row>
    <row r="84" spans="1:6">
      <c r="A84" s="2" t="s">
        <v>1666</v>
      </c>
      <c r="B84" s="2" t="s">
        <v>102</v>
      </c>
      <c r="C84" s="2" t="s">
        <v>1667</v>
      </c>
      <c r="D84" s="2" t="s">
        <v>77</v>
      </c>
      <c r="E84" s="2" t="s">
        <v>590</v>
      </c>
      <c r="F84" s="2" t="s">
        <v>1439</v>
      </c>
    </row>
    <row r="85" spans="1:6">
      <c r="A85" s="2" t="s">
        <v>1668</v>
      </c>
      <c r="B85" s="2" t="s">
        <v>102</v>
      </c>
      <c r="C85" s="2" t="s">
        <v>1669</v>
      </c>
      <c r="D85" s="2" t="s">
        <v>77</v>
      </c>
      <c r="E85" s="2" t="s">
        <v>596</v>
      </c>
      <c r="F85" s="2" t="s">
        <v>1439</v>
      </c>
    </row>
    <row r="86" ht="28.8" spans="1:6">
      <c r="A86" s="2" t="s">
        <v>1670</v>
      </c>
      <c r="B86" s="2" t="s">
        <v>1671</v>
      </c>
      <c r="C86" s="2" t="s">
        <v>1672</v>
      </c>
      <c r="D86" s="2" t="s">
        <v>25</v>
      </c>
      <c r="E86" s="2" t="s">
        <v>600</v>
      </c>
      <c r="F86" s="2" t="s">
        <v>1439</v>
      </c>
    </row>
    <row r="87" spans="1:6">
      <c r="A87" s="2" t="s">
        <v>1673</v>
      </c>
      <c r="B87" s="2" t="s">
        <v>95</v>
      </c>
      <c r="C87" s="2" t="s">
        <v>1674</v>
      </c>
      <c r="D87" s="2" t="s">
        <v>25</v>
      </c>
      <c r="E87" s="2" t="s">
        <v>606</v>
      </c>
      <c r="F87" s="2" t="s">
        <v>1439</v>
      </c>
    </row>
    <row r="88" spans="1:6">
      <c r="A88" s="2" t="s">
        <v>1675</v>
      </c>
      <c r="B88" s="2" t="s">
        <v>95</v>
      </c>
      <c r="C88" s="2" t="s">
        <v>1676</v>
      </c>
      <c r="D88" s="2" t="s">
        <v>25</v>
      </c>
      <c r="E88" s="2" t="s">
        <v>611</v>
      </c>
      <c r="F88" s="2" t="s">
        <v>1439</v>
      </c>
    </row>
    <row r="89" ht="28.8" spans="1:6">
      <c r="A89" s="2" t="s">
        <v>1677</v>
      </c>
      <c r="B89" s="2" t="s">
        <v>1671</v>
      </c>
      <c r="C89" s="2" t="s">
        <v>1678</v>
      </c>
      <c r="D89" s="2" t="s">
        <v>40</v>
      </c>
      <c r="E89" s="2" t="s">
        <v>616</v>
      </c>
      <c r="F89" s="2" t="s">
        <v>1439</v>
      </c>
    </row>
    <row r="90" spans="1:6">
      <c r="A90" s="2" t="s">
        <v>1679</v>
      </c>
      <c r="B90" s="2" t="s">
        <v>95</v>
      </c>
      <c r="C90" s="2" t="s">
        <v>1680</v>
      </c>
      <c r="D90" s="2" t="s">
        <v>25</v>
      </c>
      <c r="E90" s="2" t="s">
        <v>621</v>
      </c>
      <c r="F90" s="2" t="s">
        <v>1439</v>
      </c>
    </row>
    <row r="91" spans="1:6">
      <c r="A91" s="2" t="s">
        <v>1681</v>
      </c>
      <c r="B91" s="2" t="s">
        <v>102</v>
      </c>
      <c r="C91" s="2" t="s">
        <v>1682</v>
      </c>
      <c r="D91" s="2" t="s">
        <v>25</v>
      </c>
      <c r="E91" s="2" t="s">
        <v>625</v>
      </c>
      <c r="F91" s="2" t="s">
        <v>1439</v>
      </c>
    </row>
    <row r="92" spans="1:6">
      <c r="A92" s="2" t="s">
        <v>1683</v>
      </c>
      <c r="B92" s="2" t="s">
        <v>632</v>
      </c>
      <c r="C92" s="2" t="s">
        <v>1684</v>
      </c>
      <c r="D92" s="2" t="s">
        <v>25</v>
      </c>
      <c r="E92" s="2" t="s">
        <v>631</v>
      </c>
      <c r="F92" s="2" t="s">
        <v>1439</v>
      </c>
    </row>
    <row r="93" spans="1:6">
      <c r="A93" s="2" t="s">
        <v>1685</v>
      </c>
      <c r="B93" s="2" t="s">
        <v>637</v>
      </c>
      <c r="C93" s="2" t="s">
        <v>1686</v>
      </c>
      <c r="D93" s="2" t="s">
        <v>40</v>
      </c>
      <c r="E93" s="2" t="s">
        <v>635</v>
      </c>
      <c r="F93" s="2" t="s">
        <v>1439</v>
      </c>
    </row>
    <row r="94" spans="1:6">
      <c r="A94" s="2" t="s">
        <v>1687</v>
      </c>
      <c r="B94" s="2" t="s">
        <v>637</v>
      </c>
      <c r="C94" s="2" t="s">
        <v>1688</v>
      </c>
      <c r="D94" s="2" t="s">
        <v>40</v>
      </c>
      <c r="E94" s="2" t="s">
        <v>643</v>
      </c>
      <c r="F94" s="2" t="s">
        <v>1439</v>
      </c>
    </row>
    <row r="95" spans="1:6">
      <c r="A95" s="2" t="s">
        <v>1689</v>
      </c>
      <c r="B95" s="2" t="s">
        <v>637</v>
      </c>
      <c r="C95" s="2" t="s">
        <v>1690</v>
      </c>
      <c r="D95" s="2" t="s">
        <v>140</v>
      </c>
      <c r="E95" s="2" t="s">
        <v>651</v>
      </c>
      <c r="F95" s="2" t="s">
        <v>1439</v>
      </c>
    </row>
    <row r="96" spans="1:6">
      <c r="A96" s="2" t="s">
        <v>1691</v>
      </c>
      <c r="B96" s="2" t="s">
        <v>637</v>
      </c>
      <c r="C96" s="2" t="s">
        <v>1692</v>
      </c>
      <c r="D96" s="2" t="s">
        <v>140</v>
      </c>
      <c r="E96" s="2" t="s">
        <v>657</v>
      </c>
      <c r="F96" s="2" t="s">
        <v>1439</v>
      </c>
    </row>
    <row r="97" spans="1:6">
      <c r="A97" s="2" t="s">
        <v>1693</v>
      </c>
      <c r="B97" s="2" t="s">
        <v>671</v>
      </c>
      <c r="C97" s="2" t="s">
        <v>1694</v>
      </c>
      <c r="D97" s="2" t="s">
        <v>324</v>
      </c>
      <c r="E97" s="2" t="s">
        <v>1695</v>
      </c>
      <c r="F97" s="2" t="s">
        <v>1439</v>
      </c>
    </row>
    <row r="98" ht="28.8" spans="1:6">
      <c r="A98" s="2" t="s">
        <v>1696</v>
      </c>
      <c r="B98" s="2" t="s">
        <v>671</v>
      </c>
      <c r="C98" s="2" t="s">
        <v>1697</v>
      </c>
      <c r="D98" s="2" t="s">
        <v>140</v>
      </c>
      <c r="E98" s="2" t="s">
        <v>677</v>
      </c>
      <c r="F98" s="2" t="s">
        <v>1439</v>
      </c>
    </row>
    <row r="99" spans="1:6">
      <c r="A99" s="2" t="s">
        <v>1698</v>
      </c>
      <c r="B99" s="2" t="s">
        <v>671</v>
      </c>
      <c r="C99" s="2" t="s">
        <v>1699</v>
      </c>
      <c r="D99" s="2" t="s">
        <v>140</v>
      </c>
      <c r="E99" s="2" t="s">
        <v>682</v>
      </c>
      <c r="F99" s="2" t="s">
        <v>1439</v>
      </c>
    </row>
    <row r="100" ht="28.8" spans="1:6">
      <c r="A100" s="2" t="s">
        <v>1700</v>
      </c>
      <c r="B100" s="2" t="s">
        <v>671</v>
      </c>
      <c r="C100" s="2" t="s">
        <v>1701</v>
      </c>
      <c r="D100" s="2" t="s">
        <v>140</v>
      </c>
      <c r="E100" s="2" t="s">
        <v>687</v>
      </c>
      <c r="F100" s="2" t="s">
        <v>1439</v>
      </c>
    </row>
    <row r="101" ht="28.8" spans="1:6">
      <c r="A101" s="2" t="s">
        <v>1702</v>
      </c>
      <c r="B101" s="2" t="s">
        <v>671</v>
      </c>
      <c r="C101" s="2" t="s">
        <v>1703</v>
      </c>
      <c r="D101" s="2" t="s">
        <v>140</v>
      </c>
      <c r="E101" s="2" t="s">
        <v>695</v>
      </c>
      <c r="F101" s="2" t="s">
        <v>1439</v>
      </c>
    </row>
    <row r="102" spans="1:6">
      <c r="A102" s="2" t="s">
        <v>1704</v>
      </c>
      <c r="B102" s="2" t="s">
        <v>671</v>
      </c>
      <c r="C102" s="2" t="s">
        <v>1705</v>
      </c>
      <c r="D102" s="2" t="s">
        <v>77</v>
      </c>
      <c r="E102" s="2" t="s">
        <v>708</v>
      </c>
      <c r="F102" s="2" t="s">
        <v>1439</v>
      </c>
    </row>
    <row r="103" spans="1:6">
      <c r="A103" s="2" t="s">
        <v>1706</v>
      </c>
      <c r="B103" s="2" t="s">
        <v>671</v>
      </c>
      <c r="C103" s="2" t="s">
        <v>1707</v>
      </c>
      <c r="D103" s="2" t="s">
        <v>77</v>
      </c>
      <c r="E103" s="2" t="s">
        <v>740</v>
      </c>
      <c r="F103" s="2" t="s">
        <v>1439</v>
      </c>
    </row>
    <row r="104" spans="1:6">
      <c r="A104" s="2" t="s">
        <v>1708</v>
      </c>
      <c r="B104" s="2" t="s">
        <v>671</v>
      </c>
      <c r="C104" s="2" t="s">
        <v>1709</v>
      </c>
      <c r="D104" s="2" t="s">
        <v>77</v>
      </c>
      <c r="E104" s="2" t="s">
        <v>745</v>
      </c>
      <c r="F104" s="2" t="s">
        <v>1439</v>
      </c>
    </row>
    <row r="105" spans="1:6">
      <c r="A105" s="2" t="s">
        <v>1710</v>
      </c>
      <c r="B105" s="2" t="s">
        <v>671</v>
      </c>
      <c r="C105" s="2" t="s">
        <v>1711</v>
      </c>
      <c r="D105" s="2" t="s">
        <v>77</v>
      </c>
      <c r="E105" s="2" t="s">
        <v>751</v>
      </c>
      <c r="F105" s="2" t="s">
        <v>1439</v>
      </c>
    </row>
    <row r="106" spans="1:6">
      <c r="A106" s="2" t="s">
        <v>1712</v>
      </c>
      <c r="B106" s="2" t="s">
        <v>671</v>
      </c>
      <c r="C106" s="2" t="s">
        <v>1713</v>
      </c>
      <c r="D106" s="2" t="s">
        <v>77</v>
      </c>
      <c r="E106" s="2" t="s">
        <v>756</v>
      </c>
      <c r="F106" s="2" t="s">
        <v>1439</v>
      </c>
    </row>
    <row r="107" spans="1:6">
      <c r="A107" s="2" t="s">
        <v>1714</v>
      </c>
      <c r="B107" s="2" t="s">
        <v>671</v>
      </c>
      <c r="C107" s="2" t="s">
        <v>1715</v>
      </c>
      <c r="D107" s="2" t="s">
        <v>77</v>
      </c>
      <c r="E107" s="2" t="s">
        <v>761</v>
      </c>
      <c r="F107" s="2" t="s">
        <v>1439</v>
      </c>
    </row>
    <row r="108" spans="1:6">
      <c r="A108" s="2" t="s">
        <v>1716</v>
      </c>
      <c r="B108" s="2" t="s">
        <v>671</v>
      </c>
      <c r="C108" s="2" t="s">
        <v>1717</v>
      </c>
      <c r="D108" s="2" t="s">
        <v>77</v>
      </c>
      <c r="E108" s="2" t="s">
        <v>767</v>
      </c>
      <c r="F108" s="2" t="s">
        <v>1439</v>
      </c>
    </row>
    <row r="109" spans="1:6">
      <c r="A109" s="2" t="s">
        <v>1718</v>
      </c>
      <c r="B109" s="2" t="s">
        <v>671</v>
      </c>
      <c r="C109" s="2" t="s">
        <v>1719</v>
      </c>
      <c r="D109" s="2" t="s">
        <v>77</v>
      </c>
      <c r="E109" s="2" t="s">
        <v>773</v>
      </c>
      <c r="F109" s="2" t="s">
        <v>1439</v>
      </c>
    </row>
    <row r="110" spans="1:6">
      <c r="A110" s="2" t="s">
        <v>1720</v>
      </c>
      <c r="B110" s="2" t="s">
        <v>671</v>
      </c>
      <c r="C110" s="2" t="s">
        <v>1721</v>
      </c>
      <c r="D110" s="2" t="s">
        <v>77</v>
      </c>
      <c r="E110" s="2" t="s">
        <v>778</v>
      </c>
      <c r="F110" s="2" t="s">
        <v>1439</v>
      </c>
    </row>
    <row r="111" spans="1:6">
      <c r="A111" s="2" t="s">
        <v>1722</v>
      </c>
      <c r="B111" s="2" t="s">
        <v>671</v>
      </c>
      <c r="C111" s="2" t="s">
        <v>1723</v>
      </c>
      <c r="D111" s="2" t="s">
        <v>77</v>
      </c>
      <c r="E111" s="2" t="s">
        <v>783</v>
      </c>
      <c r="F111" s="2" t="s">
        <v>1439</v>
      </c>
    </row>
    <row r="112" spans="1:6">
      <c r="A112" s="2" t="s">
        <v>1724</v>
      </c>
      <c r="B112" s="2" t="s">
        <v>671</v>
      </c>
      <c r="C112" s="2" t="s">
        <v>1725</v>
      </c>
      <c r="D112" s="2" t="s">
        <v>77</v>
      </c>
      <c r="E112" s="2" t="s">
        <v>788</v>
      </c>
      <c r="F112" s="2" t="s">
        <v>1439</v>
      </c>
    </row>
    <row r="113" spans="1:6">
      <c r="A113" s="2" t="s">
        <v>1726</v>
      </c>
      <c r="B113" s="2" t="s">
        <v>671</v>
      </c>
      <c r="C113" s="2" t="s">
        <v>1727</v>
      </c>
      <c r="D113" s="2" t="s">
        <v>77</v>
      </c>
      <c r="E113" s="2" t="s">
        <v>793</v>
      </c>
      <c r="F113" s="2" t="s">
        <v>1439</v>
      </c>
    </row>
    <row r="114" spans="1:6">
      <c r="A114" s="2" t="s">
        <v>1728</v>
      </c>
      <c r="B114" s="2" t="s">
        <v>671</v>
      </c>
      <c r="C114" s="2" t="s">
        <v>1729</v>
      </c>
      <c r="D114" s="2" t="s">
        <v>324</v>
      </c>
      <c r="E114" s="2" t="s">
        <v>731</v>
      </c>
      <c r="F114" s="2" t="s">
        <v>1439</v>
      </c>
    </row>
    <row r="115" spans="1:6">
      <c r="A115" s="2" t="s">
        <v>1730</v>
      </c>
      <c r="B115" s="2" t="s">
        <v>671</v>
      </c>
      <c r="C115" s="2" t="s">
        <v>1731</v>
      </c>
      <c r="D115" s="2" t="s">
        <v>324</v>
      </c>
      <c r="E115" s="2" t="s">
        <v>682</v>
      </c>
      <c r="F115" s="2" t="s">
        <v>1439</v>
      </c>
    </row>
    <row r="116" spans="1:6">
      <c r="A116" s="2" t="s">
        <v>1732</v>
      </c>
      <c r="B116" s="2" t="s">
        <v>671</v>
      </c>
      <c r="C116" s="2" t="s">
        <v>1733</v>
      </c>
      <c r="D116" s="2" t="s">
        <v>324</v>
      </c>
      <c r="E116" s="2" t="s">
        <v>720</v>
      </c>
      <c r="F116" s="2" t="s">
        <v>1439</v>
      </c>
    </row>
    <row r="117" spans="1:6">
      <c r="A117" s="2" t="s">
        <v>1734</v>
      </c>
      <c r="B117" s="2" t="s">
        <v>671</v>
      </c>
      <c r="C117" s="2" t="s">
        <v>1735</v>
      </c>
      <c r="D117" s="2" t="s">
        <v>324</v>
      </c>
      <c r="E117" s="2" t="s">
        <v>714</v>
      </c>
      <c r="F117" s="2" t="s">
        <v>1439</v>
      </c>
    </row>
    <row r="118" spans="1:6">
      <c r="A118" s="2" t="s">
        <v>1736</v>
      </c>
      <c r="B118" s="2" t="s">
        <v>671</v>
      </c>
      <c r="C118" s="2" t="s">
        <v>1737</v>
      </c>
      <c r="D118" s="2" t="s">
        <v>324</v>
      </c>
      <c r="E118" s="2" t="s">
        <v>725</v>
      </c>
      <c r="F118" s="2" t="s">
        <v>1439</v>
      </c>
    </row>
    <row r="119" spans="1:6">
      <c r="A119" s="2" t="s">
        <v>1738</v>
      </c>
      <c r="B119" s="2" t="s">
        <v>671</v>
      </c>
      <c r="C119" s="2" t="s">
        <v>1739</v>
      </c>
      <c r="D119" s="2" t="s">
        <v>324</v>
      </c>
      <c r="E119" s="2" t="s">
        <v>735</v>
      </c>
      <c r="F119" s="2" t="s">
        <v>1439</v>
      </c>
    </row>
    <row r="120" spans="1:6">
      <c r="A120" s="2" t="s">
        <v>1740</v>
      </c>
      <c r="B120" s="2" t="s">
        <v>671</v>
      </c>
      <c r="C120" s="2" t="s">
        <v>1741</v>
      </c>
      <c r="D120" s="2" t="s">
        <v>40</v>
      </c>
      <c r="E120" s="2" t="s">
        <v>917</v>
      </c>
      <c r="F120" s="2" t="s">
        <v>1439</v>
      </c>
    </row>
    <row r="121" spans="1:6">
      <c r="A121" s="2" t="s">
        <v>1742</v>
      </c>
      <c r="B121" s="2" t="s">
        <v>671</v>
      </c>
      <c r="C121" s="2" t="s">
        <v>1743</v>
      </c>
      <c r="D121" s="2" t="s">
        <v>40</v>
      </c>
      <c r="E121" s="2" t="s">
        <v>922</v>
      </c>
      <c r="F121" s="2" t="s">
        <v>1439</v>
      </c>
    </row>
    <row r="122" spans="1:6">
      <c r="A122" s="2" t="s">
        <v>1744</v>
      </c>
      <c r="B122" s="2" t="s">
        <v>671</v>
      </c>
      <c r="C122" s="2" t="s">
        <v>1745</v>
      </c>
      <c r="D122" s="2" t="s">
        <v>40</v>
      </c>
      <c r="E122" s="2" t="s">
        <v>838</v>
      </c>
      <c r="F122" s="2" t="s">
        <v>1439</v>
      </c>
    </row>
    <row r="123" spans="1:6">
      <c r="A123" s="2" t="s">
        <v>1746</v>
      </c>
      <c r="B123" s="2" t="s">
        <v>671</v>
      </c>
      <c r="C123" s="2" t="s">
        <v>1747</v>
      </c>
      <c r="D123" s="2" t="s">
        <v>40</v>
      </c>
      <c r="E123" s="2" t="s">
        <v>819</v>
      </c>
      <c r="F123" s="2" t="s">
        <v>1439</v>
      </c>
    </row>
    <row r="124" spans="1:6">
      <c r="A124" s="2" t="s">
        <v>1748</v>
      </c>
      <c r="B124" s="2" t="s">
        <v>671</v>
      </c>
      <c r="C124" s="2" t="s">
        <v>1749</v>
      </c>
      <c r="D124" s="2" t="s">
        <v>77</v>
      </c>
      <c r="E124" s="2" t="s">
        <v>823</v>
      </c>
      <c r="F124" s="2" t="s">
        <v>1439</v>
      </c>
    </row>
    <row r="125" spans="1:6">
      <c r="A125" s="2" t="s">
        <v>1750</v>
      </c>
      <c r="B125" s="2" t="s">
        <v>671</v>
      </c>
      <c r="C125" s="2" t="s">
        <v>1751</v>
      </c>
      <c r="D125" s="2" t="s">
        <v>77</v>
      </c>
      <c r="E125" s="2" t="s">
        <v>829</v>
      </c>
      <c r="F125" s="2" t="s">
        <v>1439</v>
      </c>
    </row>
    <row r="126" spans="1:6">
      <c r="A126" s="2" t="s">
        <v>1752</v>
      </c>
      <c r="B126" s="2" t="s">
        <v>671</v>
      </c>
      <c r="C126" s="2" t="s">
        <v>1753</v>
      </c>
      <c r="D126" s="2" t="s">
        <v>77</v>
      </c>
      <c r="E126" s="2" t="s">
        <v>833</v>
      </c>
      <c r="F126" s="2" t="s">
        <v>1439</v>
      </c>
    </row>
    <row r="127" spans="1:6">
      <c r="A127" s="2" t="s">
        <v>1754</v>
      </c>
      <c r="B127" s="2" t="s">
        <v>671</v>
      </c>
      <c r="C127" s="2" t="s">
        <v>1755</v>
      </c>
      <c r="D127" s="2" t="s">
        <v>77</v>
      </c>
      <c r="E127" s="2" t="s">
        <v>808</v>
      </c>
      <c r="F127" s="2" t="s">
        <v>1439</v>
      </c>
    </row>
    <row r="128" spans="1:6">
      <c r="A128" s="2" t="s">
        <v>1756</v>
      </c>
      <c r="B128" s="2" t="s">
        <v>671</v>
      </c>
      <c r="C128" s="2" t="s">
        <v>1757</v>
      </c>
      <c r="D128" s="2" t="s">
        <v>77</v>
      </c>
      <c r="E128" s="2" t="s">
        <v>814</v>
      </c>
      <c r="F128" s="2" t="s">
        <v>1439</v>
      </c>
    </row>
    <row r="129" spans="1:6">
      <c r="A129" s="2" t="s">
        <v>1758</v>
      </c>
      <c r="B129" s="2" t="s">
        <v>671</v>
      </c>
      <c r="C129" s="2" t="s">
        <v>1759</v>
      </c>
      <c r="D129" s="2" t="s">
        <v>140</v>
      </c>
      <c r="E129" s="2" t="s">
        <v>859</v>
      </c>
      <c r="F129" s="2" t="s">
        <v>1439</v>
      </c>
    </row>
    <row r="130" spans="1:6">
      <c r="A130" s="2" t="s">
        <v>1760</v>
      </c>
      <c r="B130" s="2" t="s">
        <v>671</v>
      </c>
      <c r="C130" s="2" t="s">
        <v>1761</v>
      </c>
      <c r="D130" s="2" t="s">
        <v>140</v>
      </c>
      <c r="E130" s="2" t="s">
        <v>865</v>
      </c>
      <c r="F130" s="2" t="s">
        <v>1439</v>
      </c>
    </row>
    <row r="131" spans="1:6">
      <c r="A131" s="2" t="s">
        <v>1762</v>
      </c>
      <c r="B131" s="2" t="s">
        <v>671</v>
      </c>
      <c r="C131" s="2" t="s">
        <v>1763</v>
      </c>
      <c r="D131" s="2" t="s">
        <v>140</v>
      </c>
      <c r="E131" s="2" t="s">
        <v>871</v>
      </c>
      <c r="F131" s="2" t="s">
        <v>1439</v>
      </c>
    </row>
    <row r="132" spans="1:6">
      <c r="A132" s="2" t="s">
        <v>1764</v>
      </c>
      <c r="B132" s="2" t="s">
        <v>671</v>
      </c>
      <c r="C132" s="2" t="s">
        <v>1765</v>
      </c>
      <c r="D132" s="2" t="s">
        <v>25</v>
      </c>
      <c r="E132" s="2" t="s">
        <v>877</v>
      </c>
      <c r="F132" s="2" t="s">
        <v>1439</v>
      </c>
    </row>
    <row r="133" spans="1:6">
      <c r="A133" s="2" t="s">
        <v>1766</v>
      </c>
      <c r="B133" s="2" t="s">
        <v>671</v>
      </c>
      <c r="C133" s="2" t="s">
        <v>1767</v>
      </c>
      <c r="D133" s="2" t="s">
        <v>25</v>
      </c>
      <c r="E133" s="2" t="s">
        <v>881</v>
      </c>
      <c r="F133" s="2" t="s">
        <v>1439</v>
      </c>
    </row>
    <row r="134" spans="1:6">
      <c r="A134" s="2" t="s">
        <v>1768</v>
      </c>
      <c r="B134" s="2" t="s">
        <v>671</v>
      </c>
      <c r="C134" s="2" t="s">
        <v>1769</v>
      </c>
      <c r="D134" s="2" t="s">
        <v>40</v>
      </c>
      <c r="E134" s="2" t="s">
        <v>850</v>
      </c>
      <c r="F134" s="2" t="s">
        <v>1439</v>
      </c>
    </row>
    <row r="135" spans="1:6">
      <c r="A135" s="2" t="s">
        <v>1770</v>
      </c>
      <c r="B135" s="2" t="s">
        <v>671</v>
      </c>
      <c r="C135" s="2" t="s">
        <v>1771</v>
      </c>
      <c r="D135" s="2" t="s">
        <v>40</v>
      </c>
      <c r="E135" s="2" t="s">
        <v>844</v>
      </c>
      <c r="F135" s="2" t="s">
        <v>1439</v>
      </c>
    </row>
    <row r="136" spans="1:6">
      <c r="A136" s="2" t="s">
        <v>1772</v>
      </c>
      <c r="B136" s="2" t="s">
        <v>671</v>
      </c>
      <c r="C136" s="2" t="s">
        <v>1773</v>
      </c>
      <c r="D136" s="2" t="s">
        <v>40</v>
      </c>
      <c r="E136" s="2" t="s">
        <v>855</v>
      </c>
      <c r="F136" s="2" t="s">
        <v>1439</v>
      </c>
    </row>
    <row r="137" spans="1:6">
      <c r="A137" s="2" t="s">
        <v>1774</v>
      </c>
      <c r="B137" s="2" t="s">
        <v>671</v>
      </c>
      <c r="C137" s="2" t="s">
        <v>1775</v>
      </c>
      <c r="D137" s="2" t="s">
        <v>77</v>
      </c>
      <c r="E137" s="2" t="s">
        <v>798</v>
      </c>
      <c r="F137" s="2" t="s">
        <v>1439</v>
      </c>
    </row>
    <row r="138" spans="1:6">
      <c r="A138" s="2" t="s">
        <v>1776</v>
      </c>
      <c r="B138" s="2" t="s">
        <v>671</v>
      </c>
      <c r="C138" s="2" t="s">
        <v>1777</v>
      </c>
      <c r="D138" s="2" t="s">
        <v>77</v>
      </c>
      <c r="E138" s="2" t="s">
        <v>803</v>
      </c>
      <c r="F138" s="2" t="s">
        <v>1439</v>
      </c>
    </row>
    <row r="139" spans="1:6">
      <c r="A139" s="2" t="s">
        <v>1778</v>
      </c>
      <c r="B139" s="2" t="s">
        <v>671</v>
      </c>
      <c r="C139" s="2" t="s">
        <v>1779</v>
      </c>
      <c r="D139" s="2" t="s">
        <v>25</v>
      </c>
      <c r="E139" s="2" t="s">
        <v>887</v>
      </c>
      <c r="F139" s="2" t="s">
        <v>1439</v>
      </c>
    </row>
    <row r="140" spans="1:6">
      <c r="A140" s="2" t="s">
        <v>1780</v>
      </c>
      <c r="B140" s="2" t="s">
        <v>671</v>
      </c>
      <c r="C140" s="2" t="s">
        <v>1781</v>
      </c>
      <c r="D140" s="2" t="s">
        <v>105</v>
      </c>
      <c r="E140" s="2" t="s">
        <v>893</v>
      </c>
      <c r="F140" s="2" t="s">
        <v>1439</v>
      </c>
    </row>
    <row r="141" spans="1:6">
      <c r="A141" s="2" t="s">
        <v>1782</v>
      </c>
      <c r="B141" s="2" t="s">
        <v>671</v>
      </c>
      <c r="C141" s="2" t="s">
        <v>1783</v>
      </c>
      <c r="D141" s="2" t="s">
        <v>25</v>
      </c>
      <c r="E141" s="2" t="s">
        <v>899</v>
      </c>
      <c r="F141" s="2" t="s">
        <v>1439</v>
      </c>
    </row>
    <row r="142" spans="1:6">
      <c r="A142" s="2" t="s">
        <v>1784</v>
      </c>
      <c r="B142" s="2" t="s">
        <v>671</v>
      </c>
      <c r="C142" s="2" t="s">
        <v>1785</v>
      </c>
      <c r="D142" s="2" t="s">
        <v>25</v>
      </c>
      <c r="E142" s="2" t="s">
        <v>903</v>
      </c>
      <c r="F142" s="2" t="s">
        <v>1439</v>
      </c>
    </row>
    <row r="143" spans="1:6">
      <c r="A143" s="2" t="s">
        <v>1786</v>
      </c>
      <c r="B143" s="2" t="s">
        <v>671</v>
      </c>
      <c r="C143" s="2" t="s">
        <v>1787</v>
      </c>
      <c r="D143" s="2" t="s">
        <v>25</v>
      </c>
      <c r="E143" s="2" t="s">
        <v>908</v>
      </c>
      <c r="F143" s="2" t="s">
        <v>1439</v>
      </c>
    </row>
    <row r="144" spans="1:6">
      <c r="A144" s="2" t="s">
        <v>1788</v>
      </c>
      <c r="B144" s="2" t="s">
        <v>671</v>
      </c>
      <c r="C144" s="2" t="s">
        <v>1789</v>
      </c>
      <c r="D144" s="2" t="s">
        <v>25</v>
      </c>
      <c r="E144" s="2" t="s">
        <v>913</v>
      </c>
      <c r="F144" s="2" t="s">
        <v>1439</v>
      </c>
    </row>
    <row r="145" ht="28.8" spans="1:6">
      <c r="A145" s="2" t="s">
        <v>1790</v>
      </c>
      <c r="B145" s="2" t="s">
        <v>1791</v>
      </c>
      <c r="C145" s="2" t="s">
        <v>1792</v>
      </c>
      <c r="D145" s="2" t="s">
        <v>40</v>
      </c>
      <c r="E145" s="2" t="s">
        <v>928</v>
      </c>
      <c r="F145" s="2" t="s">
        <v>1439</v>
      </c>
    </row>
    <row r="146" spans="1:6">
      <c r="A146" s="2" t="s">
        <v>1793</v>
      </c>
      <c r="B146" s="2" t="s">
        <v>671</v>
      </c>
      <c r="C146" s="2" t="s">
        <v>1794</v>
      </c>
      <c r="D146" s="2" t="s">
        <v>324</v>
      </c>
      <c r="E146" s="2" t="s">
        <v>35</v>
      </c>
      <c r="F146" s="3" t="s">
        <v>1795</v>
      </c>
    </row>
    <row r="147" spans="1:6">
      <c r="A147" s="2" t="s">
        <v>1796</v>
      </c>
      <c r="B147" s="2" t="s">
        <v>671</v>
      </c>
      <c r="C147" s="2" t="s">
        <v>1797</v>
      </c>
      <c r="D147" s="2" t="s">
        <v>77</v>
      </c>
      <c r="E147" s="2" t="s">
        <v>35</v>
      </c>
      <c r="F147" s="2" t="s">
        <v>1472</v>
      </c>
    </row>
    <row r="148" spans="1:6">
      <c r="A148" s="2" t="s">
        <v>1798</v>
      </c>
      <c r="B148" s="2" t="s">
        <v>950</v>
      </c>
      <c r="C148" s="2" t="s">
        <v>1799</v>
      </c>
      <c r="D148" s="2" t="s">
        <v>40</v>
      </c>
      <c r="E148" s="2" t="s">
        <v>948</v>
      </c>
      <c r="F148" s="2" t="s">
        <v>1439</v>
      </c>
    </row>
    <row r="149" ht="28.8" spans="1:6">
      <c r="A149" s="2" t="s">
        <v>1800</v>
      </c>
      <c r="B149" s="2" t="s">
        <v>950</v>
      </c>
      <c r="C149" s="2" t="s">
        <v>1801</v>
      </c>
      <c r="D149" s="2" t="s">
        <v>116</v>
      </c>
      <c r="E149" s="2" t="s">
        <v>955</v>
      </c>
      <c r="F149" s="2" t="s">
        <v>1439</v>
      </c>
    </row>
    <row r="150" spans="1:6">
      <c r="A150" s="2" t="s">
        <v>1802</v>
      </c>
      <c r="B150" s="2" t="s">
        <v>950</v>
      </c>
      <c r="C150" s="2" t="s">
        <v>1803</v>
      </c>
      <c r="D150" s="2" t="s">
        <v>40</v>
      </c>
      <c r="E150" s="2" t="s">
        <v>962</v>
      </c>
      <c r="F150" s="2" t="s">
        <v>1439</v>
      </c>
    </row>
    <row r="151" spans="1:6">
      <c r="A151" s="2" t="s">
        <v>1804</v>
      </c>
      <c r="B151" s="2" t="s">
        <v>950</v>
      </c>
      <c r="C151" s="2" t="s">
        <v>1805</v>
      </c>
      <c r="D151" s="2" t="s">
        <v>40</v>
      </c>
      <c r="E151" s="2" t="s">
        <v>969</v>
      </c>
      <c r="F151" s="2" t="s">
        <v>1439</v>
      </c>
    </row>
    <row r="152" spans="1:6">
      <c r="A152" s="2" t="s">
        <v>1806</v>
      </c>
      <c r="B152" s="2" t="s">
        <v>950</v>
      </c>
      <c r="C152" s="2" t="s">
        <v>1807</v>
      </c>
      <c r="D152" s="2" t="s">
        <v>77</v>
      </c>
      <c r="E152" s="2" t="s">
        <v>975</v>
      </c>
      <c r="F152" s="2" t="s">
        <v>1439</v>
      </c>
    </row>
    <row r="153" spans="1:6">
      <c r="A153" s="2" t="s">
        <v>1808</v>
      </c>
      <c r="B153" s="2" t="s">
        <v>950</v>
      </c>
      <c r="C153" s="2" t="s">
        <v>1809</v>
      </c>
      <c r="D153" s="2" t="s">
        <v>40</v>
      </c>
      <c r="E153" s="2" t="s">
        <v>975</v>
      </c>
      <c r="F153" s="2" t="s">
        <v>1439</v>
      </c>
    </row>
    <row r="154" spans="1:6">
      <c r="A154" s="2" t="s">
        <v>1810</v>
      </c>
      <c r="B154" s="2" t="s">
        <v>950</v>
      </c>
      <c r="C154" s="2" t="s">
        <v>1811</v>
      </c>
      <c r="D154" s="2" t="s">
        <v>40</v>
      </c>
      <c r="E154" s="2" t="s">
        <v>980</v>
      </c>
      <c r="F154" s="2" t="s">
        <v>1439</v>
      </c>
    </row>
    <row r="155" spans="1:6">
      <c r="A155" s="2" t="s">
        <v>1812</v>
      </c>
      <c r="B155" s="2" t="s">
        <v>950</v>
      </c>
      <c r="C155" s="2" t="s">
        <v>1813</v>
      </c>
      <c r="D155" s="2" t="s">
        <v>25</v>
      </c>
      <c r="E155" s="2" t="s">
        <v>985</v>
      </c>
      <c r="F155" s="2" t="s">
        <v>1439</v>
      </c>
    </row>
    <row r="156" spans="1:6">
      <c r="A156" s="2" t="s">
        <v>1814</v>
      </c>
      <c r="B156" s="2" t="s">
        <v>950</v>
      </c>
      <c r="C156" s="2" t="s">
        <v>1815</v>
      </c>
      <c r="D156" s="2" t="s">
        <v>40</v>
      </c>
      <c r="E156" s="2" t="s">
        <v>989</v>
      </c>
      <c r="F156" s="2" t="s">
        <v>1439</v>
      </c>
    </row>
    <row r="157" spans="1:6">
      <c r="A157" s="2" t="s">
        <v>1816</v>
      </c>
      <c r="B157" s="2" t="s">
        <v>950</v>
      </c>
      <c r="C157" s="2" t="s">
        <v>1817</v>
      </c>
      <c r="D157" s="2" t="s">
        <v>77</v>
      </c>
      <c r="E157" s="2" t="s">
        <v>993</v>
      </c>
      <c r="F157" s="2" t="s">
        <v>1439</v>
      </c>
    </row>
    <row r="158" spans="1:6">
      <c r="A158" s="2" t="s">
        <v>1818</v>
      </c>
      <c r="B158" s="2" t="s">
        <v>950</v>
      </c>
      <c r="C158" s="2" t="s">
        <v>1819</v>
      </c>
      <c r="D158" s="2" t="s">
        <v>77</v>
      </c>
      <c r="E158" s="2" t="s">
        <v>999</v>
      </c>
      <c r="F158" s="2" t="s">
        <v>1439</v>
      </c>
    </row>
    <row r="159" spans="1:6">
      <c r="A159" s="2" t="s">
        <v>1820</v>
      </c>
      <c r="B159" s="2" t="s">
        <v>950</v>
      </c>
      <c r="C159" s="2" t="s">
        <v>1821</v>
      </c>
      <c r="D159" s="2" t="s">
        <v>40</v>
      </c>
      <c r="E159" s="2" t="s">
        <v>1005</v>
      </c>
      <c r="F159" s="2" t="s">
        <v>1439</v>
      </c>
    </row>
    <row r="160" spans="1:6">
      <c r="A160" s="2" t="s">
        <v>1822</v>
      </c>
      <c r="B160" s="2" t="s">
        <v>950</v>
      </c>
      <c r="C160" s="2" t="s">
        <v>1823</v>
      </c>
      <c r="D160" s="2" t="s">
        <v>324</v>
      </c>
      <c r="E160" s="2" t="s">
        <v>35</v>
      </c>
      <c r="F160" s="3" t="s">
        <v>1795</v>
      </c>
    </row>
    <row r="161" spans="1:6">
      <c r="A161" s="2" t="s">
        <v>1824</v>
      </c>
      <c r="B161" s="2" t="s">
        <v>950</v>
      </c>
      <c r="C161" s="2" t="s">
        <v>1825</v>
      </c>
      <c r="D161" s="2" t="s">
        <v>40</v>
      </c>
      <c r="E161" s="2" t="s">
        <v>1016</v>
      </c>
      <c r="F161" s="2" t="s">
        <v>1439</v>
      </c>
    </row>
    <row r="162" spans="1:6">
      <c r="A162" s="2" t="s">
        <v>1826</v>
      </c>
      <c r="B162" s="2" t="s">
        <v>950</v>
      </c>
      <c r="C162" s="2" t="s">
        <v>1827</v>
      </c>
      <c r="D162" s="2" t="s">
        <v>40</v>
      </c>
      <c r="E162" s="2" t="s">
        <v>1022</v>
      </c>
      <c r="F162" s="2" t="s">
        <v>1439</v>
      </c>
    </row>
    <row r="163" spans="1:6">
      <c r="A163" s="2" t="s">
        <v>1828</v>
      </c>
      <c r="B163" s="2" t="s">
        <v>950</v>
      </c>
      <c r="C163" s="2" t="s">
        <v>1829</v>
      </c>
      <c r="D163" s="2" t="s">
        <v>40</v>
      </c>
      <c r="E163" s="2" t="s">
        <v>1027</v>
      </c>
      <c r="F163" s="2" t="s">
        <v>1439</v>
      </c>
    </row>
    <row r="164" spans="1:6">
      <c r="A164" s="2" t="s">
        <v>1830</v>
      </c>
      <c r="B164" s="2" t="s">
        <v>950</v>
      </c>
      <c r="C164" s="2" t="s">
        <v>1831</v>
      </c>
      <c r="D164" s="2" t="s">
        <v>40</v>
      </c>
      <c r="E164" s="2" t="s">
        <v>1031</v>
      </c>
      <c r="F164" s="2" t="s">
        <v>1439</v>
      </c>
    </row>
    <row r="165" spans="1:6">
      <c r="A165" s="2" t="s">
        <v>1832</v>
      </c>
      <c r="B165" s="2" t="s">
        <v>950</v>
      </c>
      <c r="C165" s="2" t="s">
        <v>1833</v>
      </c>
      <c r="D165" s="2" t="s">
        <v>105</v>
      </c>
      <c r="E165" s="2" t="s">
        <v>1037</v>
      </c>
      <c r="F165" s="2" t="s">
        <v>1439</v>
      </c>
    </row>
    <row r="166" spans="1:6">
      <c r="A166" s="2" t="s">
        <v>1834</v>
      </c>
      <c r="B166" s="2" t="s">
        <v>950</v>
      </c>
      <c r="C166" s="2" t="s">
        <v>1835</v>
      </c>
      <c r="D166" s="2" t="s">
        <v>40</v>
      </c>
      <c r="E166" s="2" t="s">
        <v>1042</v>
      </c>
      <c r="F166" s="2" t="s">
        <v>1439</v>
      </c>
    </row>
    <row r="167" spans="1:6">
      <c r="A167" s="2" t="s">
        <v>1836</v>
      </c>
      <c r="B167" s="2" t="s">
        <v>950</v>
      </c>
      <c r="C167" s="2" t="s">
        <v>1837</v>
      </c>
      <c r="D167" s="2" t="s">
        <v>105</v>
      </c>
      <c r="E167" s="2" t="s">
        <v>35</v>
      </c>
      <c r="F167" s="3" t="s">
        <v>1795</v>
      </c>
    </row>
    <row r="168" spans="1:6">
      <c r="A168" s="2" t="s">
        <v>1838</v>
      </c>
      <c r="B168" s="2" t="s">
        <v>950</v>
      </c>
      <c r="C168" s="2" t="s">
        <v>1839</v>
      </c>
      <c r="D168" s="2" t="s">
        <v>40</v>
      </c>
      <c r="E168" s="2" t="s">
        <v>1046</v>
      </c>
      <c r="F168" s="2" t="s">
        <v>1439</v>
      </c>
    </row>
    <row r="169" spans="1:6">
      <c r="A169" s="2" t="s">
        <v>1840</v>
      </c>
      <c r="B169" s="2" t="s">
        <v>950</v>
      </c>
      <c r="C169" s="2" t="s">
        <v>1841</v>
      </c>
      <c r="D169" s="2" t="s">
        <v>40</v>
      </c>
      <c r="E169" s="2" t="s">
        <v>1052</v>
      </c>
      <c r="F169" s="2" t="s">
        <v>1439</v>
      </c>
    </row>
    <row r="170" spans="1:6">
      <c r="A170" s="2" t="s">
        <v>1842</v>
      </c>
      <c r="B170" s="2" t="s">
        <v>950</v>
      </c>
      <c r="C170" s="2" t="s">
        <v>1843</v>
      </c>
      <c r="D170" s="2" t="s">
        <v>77</v>
      </c>
      <c r="E170" s="2" t="s">
        <v>1057</v>
      </c>
      <c r="F170" s="2" t="s">
        <v>1439</v>
      </c>
    </row>
    <row r="171" spans="1:6">
      <c r="A171" s="2" t="s">
        <v>1844</v>
      </c>
      <c r="B171" s="2" t="s">
        <v>950</v>
      </c>
      <c r="C171" s="2" t="s">
        <v>1845</v>
      </c>
      <c r="D171" s="2" t="s">
        <v>40</v>
      </c>
      <c r="E171" s="2" t="s">
        <v>1062</v>
      </c>
      <c r="F171" s="2" t="s">
        <v>1439</v>
      </c>
    </row>
    <row r="172" spans="1:6">
      <c r="A172" s="2" t="s">
        <v>1846</v>
      </c>
      <c r="B172" s="2" t="s">
        <v>950</v>
      </c>
      <c r="C172" s="2" t="s">
        <v>1847</v>
      </c>
      <c r="D172" s="2" t="s">
        <v>40</v>
      </c>
      <c r="E172" s="2" t="s">
        <v>1068</v>
      </c>
      <c r="F172" s="2" t="s">
        <v>1439</v>
      </c>
    </row>
    <row r="173" spans="1:6">
      <c r="A173" s="2" t="s">
        <v>1848</v>
      </c>
      <c r="B173" s="2" t="s">
        <v>950</v>
      </c>
      <c r="C173" s="2" t="s">
        <v>1849</v>
      </c>
      <c r="D173" s="2" t="s">
        <v>40</v>
      </c>
      <c r="E173" s="2" t="s">
        <v>1074</v>
      </c>
      <c r="F173" s="2" t="s">
        <v>1439</v>
      </c>
    </row>
    <row r="174" spans="1:6">
      <c r="A174" s="2" t="s">
        <v>1850</v>
      </c>
      <c r="B174" s="2" t="s">
        <v>950</v>
      </c>
      <c r="C174" s="2" t="s">
        <v>1851</v>
      </c>
      <c r="D174" s="2" t="s">
        <v>40</v>
      </c>
      <c r="E174" s="2" t="s">
        <v>1079</v>
      </c>
      <c r="F174" s="2" t="s">
        <v>1439</v>
      </c>
    </row>
    <row r="175" spans="1:6">
      <c r="A175" s="2" t="s">
        <v>1852</v>
      </c>
      <c r="B175" s="2" t="s">
        <v>950</v>
      </c>
      <c r="C175" s="2" t="s">
        <v>1853</v>
      </c>
      <c r="D175" s="2" t="s">
        <v>40</v>
      </c>
      <c r="E175" s="2" t="s">
        <v>1084</v>
      </c>
      <c r="F175" s="2" t="s">
        <v>1439</v>
      </c>
    </row>
    <row r="176" spans="1:6">
      <c r="A176" s="2" t="s">
        <v>1854</v>
      </c>
      <c r="B176" s="2" t="s">
        <v>950</v>
      </c>
      <c r="C176" s="2" t="s">
        <v>1855</v>
      </c>
      <c r="D176" s="2" t="s">
        <v>40</v>
      </c>
      <c r="E176" s="2" t="s">
        <v>1091</v>
      </c>
      <c r="F176" s="2" t="s">
        <v>1439</v>
      </c>
    </row>
    <row r="177" spans="1:6">
      <c r="A177" s="2" t="s">
        <v>1856</v>
      </c>
      <c r="B177" s="2" t="s">
        <v>950</v>
      </c>
      <c r="C177" s="2" t="s">
        <v>1857</v>
      </c>
      <c r="D177" s="2" t="s">
        <v>40</v>
      </c>
      <c r="E177" s="2" t="s">
        <v>1095</v>
      </c>
      <c r="F177" s="2" t="s">
        <v>1439</v>
      </c>
    </row>
    <row r="178" ht="28.8" spans="1:6">
      <c r="A178" s="2" t="s">
        <v>1858</v>
      </c>
      <c r="B178" s="2" t="s">
        <v>1859</v>
      </c>
      <c r="C178" s="2" t="s">
        <v>1860</v>
      </c>
      <c r="D178" s="2" t="s">
        <v>40</v>
      </c>
      <c r="E178" s="2" t="s">
        <v>1100</v>
      </c>
      <c r="F178" s="2" t="s">
        <v>1439</v>
      </c>
    </row>
    <row r="179" spans="1:6">
      <c r="A179" s="2" t="s">
        <v>1861</v>
      </c>
      <c r="B179" s="2" t="s">
        <v>102</v>
      </c>
      <c r="C179" s="2" t="s">
        <v>1862</v>
      </c>
      <c r="D179" s="2" t="s">
        <v>25</v>
      </c>
      <c r="E179" s="2" t="s">
        <v>1106</v>
      </c>
      <c r="F179" s="2" t="s">
        <v>1439</v>
      </c>
    </row>
    <row r="180" spans="1:6">
      <c r="A180" s="2" t="s">
        <v>1863</v>
      </c>
      <c r="B180" s="2" t="s">
        <v>950</v>
      </c>
      <c r="C180" s="2" t="s">
        <v>1864</v>
      </c>
      <c r="D180" s="2" t="s">
        <v>40</v>
      </c>
      <c r="E180" s="2" t="s">
        <v>1110</v>
      </c>
      <c r="F180" s="2" t="s">
        <v>1439</v>
      </c>
    </row>
    <row r="181" spans="1:6">
      <c r="A181" s="2" t="s">
        <v>1865</v>
      </c>
      <c r="B181" s="2" t="s">
        <v>950</v>
      </c>
      <c r="C181" s="2" t="s">
        <v>1866</v>
      </c>
      <c r="D181" s="2" t="s">
        <v>40</v>
      </c>
      <c r="E181" s="2" t="s">
        <v>1116</v>
      </c>
      <c r="F181" s="2" t="s">
        <v>1439</v>
      </c>
    </row>
    <row r="182" spans="1:6">
      <c r="A182" s="2" t="s">
        <v>1867</v>
      </c>
      <c r="B182" s="2" t="s">
        <v>950</v>
      </c>
      <c r="C182" s="2" t="s">
        <v>1868</v>
      </c>
      <c r="D182" s="2" t="s">
        <v>25</v>
      </c>
      <c r="E182" s="2" t="s">
        <v>1121</v>
      </c>
      <c r="F182" s="2" t="s">
        <v>1439</v>
      </c>
    </row>
    <row r="183" spans="1:6">
      <c r="A183" s="2" t="s">
        <v>1869</v>
      </c>
      <c r="B183" s="2" t="s">
        <v>950</v>
      </c>
      <c r="C183" s="2" t="s">
        <v>1870</v>
      </c>
      <c r="D183" s="2" t="s">
        <v>105</v>
      </c>
      <c r="E183" s="2" t="s">
        <v>35</v>
      </c>
      <c r="F183" s="2" t="s">
        <v>1472</v>
      </c>
    </row>
    <row r="184" spans="1:6">
      <c r="A184" s="2" t="s">
        <v>1871</v>
      </c>
      <c r="B184" s="2" t="s">
        <v>1144</v>
      </c>
      <c r="C184" s="2" t="s">
        <v>1872</v>
      </c>
      <c r="D184" s="2" t="s">
        <v>140</v>
      </c>
      <c r="E184" s="2" t="s">
        <v>1142</v>
      </c>
      <c r="F184" s="2" t="s">
        <v>1439</v>
      </c>
    </row>
    <row r="185" spans="1:6">
      <c r="A185" s="2" t="s">
        <v>1873</v>
      </c>
      <c r="B185" s="2" t="s">
        <v>1153</v>
      </c>
      <c r="C185" s="2" t="s">
        <v>1874</v>
      </c>
      <c r="D185" s="2" t="s">
        <v>40</v>
      </c>
      <c r="E185" s="2" t="s">
        <v>1152</v>
      </c>
      <c r="F185" s="2" t="s">
        <v>1439</v>
      </c>
    </row>
    <row r="186" spans="1:6">
      <c r="A186" s="2" t="s">
        <v>1875</v>
      </c>
      <c r="B186" s="2" t="s">
        <v>1153</v>
      </c>
      <c r="C186" s="2" t="s">
        <v>1876</v>
      </c>
      <c r="D186" s="2" t="s">
        <v>77</v>
      </c>
      <c r="E186" s="2" t="s">
        <v>1161</v>
      </c>
      <c r="F186" s="2" t="s">
        <v>1439</v>
      </c>
    </row>
    <row r="187" spans="1:6">
      <c r="A187" s="2" t="s">
        <v>1877</v>
      </c>
      <c r="B187" s="2" t="s">
        <v>1153</v>
      </c>
      <c r="C187" s="2" t="s">
        <v>1878</v>
      </c>
      <c r="D187" s="2" t="s">
        <v>77</v>
      </c>
      <c r="E187" s="2" t="s">
        <v>1167</v>
      </c>
      <c r="F187" s="2" t="s">
        <v>1439</v>
      </c>
    </row>
    <row r="188" spans="1:6">
      <c r="A188" s="2" t="s">
        <v>1879</v>
      </c>
      <c r="B188" s="2" t="s">
        <v>1153</v>
      </c>
      <c r="C188" s="2" t="s">
        <v>1880</v>
      </c>
      <c r="D188" s="2" t="s">
        <v>77</v>
      </c>
      <c r="E188" s="2" t="s">
        <v>1175</v>
      </c>
      <c r="F188" s="2" t="s">
        <v>1439</v>
      </c>
    </row>
    <row r="189" spans="1:6">
      <c r="A189" s="2" t="s">
        <v>1881</v>
      </c>
      <c r="B189" s="2" t="s">
        <v>1153</v>
      </c>
      <c r="C189" s="2" t="s">
        <v>1882</v>
      </c>
      <c r="D189" s="2" t="s">
        <v>140</v>
      </c>
      <c r="E189" s="2" t="s">
        <v>1181</v>
      </c>
      <c r="F189" s="2" t="s">
        <v>1439</v>
      </c>
    </row>
    <row r="190" spans="1:6">
      <c r="A190" s="2" t="s">
        <v>1883</v>
      </c>
      <c r="B190" s="2" t="s">
        <v>1153</v>
      </c>
      <c r="C190" s="2" t="s">
        <v>1884</v>
      </c>
      <c r="D190" s="2" t="s">
        <v>140</v>
      </c>
      <c r="E190" s="2" t="s">
        <v>1187</v>
      </c>
      <c r="F190" s="2" t="s">
        <v>1439</v>
      </c>
    </row>
    <row r="191" spans="1:6">
      <c r="A191" s="2" t="s">
        <v>1885</v>
      </c>
      <c r="B191" s="2" t="s">
        <v>1153</v>
      </c>
      <c r="C191" s="2" t="s">
        <v>1886</v>
      </c>
      <c r="D191" s="2" t="s">
        <v>105</v>
      </c>
      <c r="E191" s="2" t="s">
        <v>1193</v>
      </c>
      <c r="F191" s="2" t="s">
        <v>1439</v>
      </c>
    </row>
    <row r="192" ht="28.8" spans="1:6">
      <c r="A192" s="2" t="s">
        <v>1887</v>
      </c>
      <c r="B192" s="2" t="s">
        <v>1888</v>
      </c>
      <c r="C192" s="2" t="s">
        <v>1889</v>
      </c>
      <c r="D192" s="2" t="s">
        <v>140</v>
      </c>
      <c r="E192" s="2" t="s">
        <v>1200</v>
      </c>
      <c r="F192" s="2" t="s">
        <v>1439</v>
      </c>
    </row>
    <row r="193" spans="1:6">
      <c r="A193" s="2" t="s">
        <v>1890</v>
      </c>
      <c r="B193" s="2" t="s">
        <v>1208</v>
      </c>
      <c r="C193" s="2" t="s">
        <v>1891</v>
      </c>
      <c r="D193" s="2" t="s">
        <v>140</v>
      </c>
      <c r="E193" s="2" t="s">
        <v>1207</v>
      </c>
      <c r="F193" s="2" t="s">
        <v>1439</v>
      </c>
    </row>
    <row r="194" spans="1:6">
      <c r="A194" s="2" t="s">
        <v>1892</v>
      </c>
      <c r="B194" s="2" t="s">
        <v>1208</v>
      </c>
      <c r="C194" s="2" t="s">
        <v>1893</v>
      </c>
      <c r="D194" s="2" t="s">
        <v>140</v>
      </c>
      <c r="E194" s="2" t="s">
        <v>1215</v>
      </c>
      <c r="F194" s="2" t="s">
        <v>1439</v>
      </c>
    </row>
    <row r="195" ht="28.8" spans="1:6">
      <c r="A195" s="2" t="s">
        <v>1894</v>
      </c>
      <c r="B195" s="2" t="s">
        <v>1895</v>
      </c>
      <c r="C195" s="2" t="s">
        <v>1896</v>
      </c>
      <c r="D195" s="2" t="s">
        <v>140</v>
      </c>
      <c r="E195" s="2" t="s">
        <v>1223</v>
      </c>
      <c r="F195" s="2" t="s">
        <v>1439</v>
      </c>
    </row>
    <row r="196" spans="1:6">
      <c r="A196" s="2" t="s">
        <v>1897</v>
      </c>
      <c r="B196" s="2" t="s">
        <v>1208</v>
      </c>
      <c r="C196" s="2" t="s">
        <v>1898</v>
      </c>
      <c r="D196" s="2" t="s">
        <v>324</v>
      </c>
      <c r="E196" s="2" t="s">
        <v>1231</v>
      </c>
      <c r="F196" s="2" t="s">
        <v>1439</v>
      </c>
    </row>
    <row r="197" spans="1:6">
      <c r="A197" s="2" t="s">
        <v>1899</v>
      </c>
      <c r="B197" s="2" t="s">
        <v>1208</v>
      </c>
      <c r="C197" s="2" t="s">
        <v>1900</v>
      </c>
      <c r="D197" s="2" t="s">
        <v>140</v>
      </c>
      <c r="E197" s="2" t="s">
        <v>1237</v>
      </c>
      <c r="F197" s="2" t="s">
        <v>1439</v>
      </c>
    </row>
    <row r="198" ht="28.8" spans="1:6">
      <c r="A198" s="2" t="s">
        <v>1901</v>
      </c>
      <c r="B198" s="2" t="s">
        <v>1902</v>
      </c>
      <c r="C198" s="2" t="s">
        <v>1903</v>
      </c>
      <c r="D198" s="2" t="s">
        <v>140</v>
      </c>
      <c r="E198" s="2" t="s">
        <v>1243</v>
      </c>
      <c r="F198" s="2" t="s">
        <v>1439</v>
      </c>
    </row>
    <row r="199" spans="1:6">
      <c r="A199" s="2" t="s">
        <v>1904</v>
      </c>
      <c r="B199" s="2" t="s">
        <v>1251</v>
      </c>
      <c r="C199" s="2" t="s">
        <v>1905</v>
      </c>
      <c r="D199" s="2" t="s">
        <v>140</v>
      </c>
      <c r="E199" s="2" t="s">
        <v>1250</v>
      </c>
      <c r="F199" s="2" t="s">
        <v>1439</v>
      </c>
    </row>
    <row r="200" spans="1:6">
      <c r="A200" s="2" t="s">
        <v>1906</v>
      </c>
      <c r="B200" s="2" t="s">
        <v>1251</v>
      </c>
      <c r="C200" s="2" t="s">
        <v>1907</v>
      </c>
      <c r="D200" s="2" t="s">
        <v>140</v>
      </c>
      <c r="E200" s="2" t="s">
        <v>1256</v>
      </c>
      <c r="F200" s="2" t="s">
        <v>1439</v>
      </c>
    </row>
    <row r="201" spans="1:6">
      <c r="A201" s="2" t="s">
        <v>1908</v>
      </c>
      <c r="B201" s="2" t="s">
        <v>1251</v>
      </c>
      <c r="C201" s="2" t="s">
        <v>1909</v>
      </c>
      <c r="D201" s="2" t="s">
        <v>140</v>
      </c>
      <c r="E201" s="2" t="s">
        <v>1262</v>
      </c>
      <c r="F201" s="2" t="s">
        <v>1439</v>
      </c>
    </row>
    <row r="202" spans="1:6">
      <c r="A202" s="2" t="s">
        <v>1910</v>
      </c>
      <c r="B202" s="2" t="s">
        <v>1251</v>
      </c>
      <c r="C202" s="2" t="s">
        <v>1911</v>
      </c>
      <c r="D202" s="2" t="s">
        <v>140</v>
      </c>
      <c r="E202" s="2" t="s">
        <v>1267</v>
      </c>
      <c r="F202" s="2" t="s">
        <v>1439</v>
      </c>
    </row>
    <row r="203" spans="1:6">
      <c r="A203" s="2" t="s">
        <v>1912</v>
      </c>
      <c r="B203" s="2" t="s">
        <v>1251</v>
      </c>
      <c r="C203" s="2" t="s">
        <v>1913</v>
      </c>
      <c r="D203" s="2" t="s">
        <v>140</v>
      </c>
      <c r="E203" s="2" t="s">
        <v>1272</v>
      </c>
      <c r="F203" s="2" t="s">
        <v>1439</v>
      </c>
    </row>
    <row r="204" spans="1:6">
      <c r="A204" s="2" t="s">
        <v>1914</v>
      </c>
      <c r="B204" s="2" t="s">
        <v>1251</v>
      </c>
      <c r="C204" s="2" t="s">
        <v>1915</v>
      </c>
      <c r="D204" s="2" t="s">
        <v>140</v>
      </c>
      <c r="E204" s="2" t="s">
        <v>1277</v>
      </c>
      <c r="F204" s="2" t="s">
        <v>1439</v>
      </c>
    </row>
    <row r="205" spans="1:6">
      <c r="A205" s="2" t="s">
        <v>1916</v>
      </c>
      <c r="B205" s="2" t="s">
        <v>1251</v>
      </c>
      <c r="C205" s="2" t="s">
        <v>1917</v>
      </c>
      <c r="D205" s="2" t="s">
        <v>140</v>
      </c>
      <c r="E205" s="2" t="s">
        <v>1282</v>
      </c>
      <c r="F205" s="2" t="s">
        <v>1439</v>
      </c>
    </row>
    <row r="206" spans="1:6">
      <c r="A206" s="2" t="s">
        <v>1918</v>
      </c>
      <c r="B206" s="2" t="s">
        <v>1251</v>
      </c>
      <c r="C206" s="2" t="s">
        <v>1919</v>
      </c>
      <c r="D206" s="2" t="s">
        <v>140</v>
      </c>
      <c r="E206" s="2" t="s">
        <v>1287</v>
      </c>
      <c r="F206" s="2" t="s">
        <v>1439</v>
      </c>
    </row>
    <row r="207" spans="1:6">
      <c r="A207" s="2" t="s">
        <v>1920</v>
      </c>
      <c r="B207" s="2" t="s">
        <v>1251</v>
      </c>
      <c r="C207" s="2" t="s">
        <v>1921</v>
      </c>
      <c r="D207" s="2" t="s">
        <v>140</v>
      </c>
      <c r="E207" s="2" t="s">
        <v>1292</v>
      </c>
      <c r="F207" s="2" t="s">
        <v>1439</v>
      </c>
    </row>
    <row r="208" spans="1:6">
      <c r="A208" s="2" t="s">
        <v>1922</v>
      </c>
      <c r="B208" s="2" t="s">
        <v>1251</v>
      </c>
      <c r="C208" s="2" t="s">
        <v>1923</v>
      </c>
      <c r="D208" s="2" t="s">
        <v>140</v>
      </c>
      <c r="E208" s="2" t="s">
        <v>1297</v>
      </c>
      <c r="F208" s="2" t="s">
        <v>1439</v>
      </c>
    </row>
    <row r="209" spans="1:6">
      <c r="A209" s="2" t="s">
        <v>1924</v>
      </c>
      <c r="B209" s="2" t="s">
        <v>1304</v>
      </c>
      <c r="C209" s="2" t="s">
        <v>1925</v>
      </c>
      <c r="D209" s="2" t="s">
        <v>40</v>
      </c>
      <c r="E209" s="2" t="s">
        <v>1303</v>
      </c>
      <c r="F209" s="2" t="s">
        <v>1439</v>
      </c>
    </row>
    <row r="210" spans="1:6">
      <c r="A210" s="2" t="s">
        <v>1926</v>
      </c>
      <c r="B210" s="2" t="s">
        <v>1304</v>
      </c>
      <c r="C210" s="2" t="s">
        <v>1927</v>
      </c>
      <c r="D210" s="2" t="s">
        <v>40</v>
      </c>
      <c r="E210" s="2" t="s">
        <v>1312</v>
      </c>
      <c r="F210" s="2" t="s">
        <v>1439</v>
      </c>
    </row>
    <row r="211" spans="1:6">
      <c r="A211" s="2" t="s">
        <v>1928</v>
      </c>
      <c r="B211" s="2" t="s">
        <v>1304</v>
      </c>
      <c r="C211" s="2" t="s">
        <v>1929</v>
      </c>
      <c r="D211" s="2" t="s">
        <v>40</v>
      </c>
      <c r="E211" s="2" t="s">
        <v>1320</v>
      </c>
      <c r="F211" s="2" t="s">
        <v>1439</v>
      </c>
    </row>
    <row r="212" spans="1:6">
      <c r="A212" s="2" t="s">
        <v>1930</v>
      </c>
      <c r="B212" s="2" t="s">
        <v>1304</v>
      </c>
      <c r="C212" s="2" t="s">
        <v>1931</v>
      </c>
      <c r="D212" s="2" t="s">
        <v>40</v>
      </c>
      <c r="E212" s="2" t="s">
        <v>1327</v>
      </c>
      <c r="F212" s="2" t="s">
        <v>1439</v>
      </c>
    </row>
    <row r="213" spans="1:6">
      <c r="A213" s="2" t="s">
        <v>1932</v>
      </c>
      <c r="B213" s="2" t="s">
        <v>1334</v>
      </c>
      <c r="C213" s="2" t="s">
        <v>1933</v>
      </c>
      <c r="D213" s="2" t="s">
        <v>40</v>
      </c>
      <c r="E213" s="2" t="s">
        <v>1333</v>
      </c>
      <c r="F213" s="2" t="s">
        <v>1439</v>
      </c>
    </row>
    <row r="214" spans="1:6">
      <c r="A214" s="2" t="s">
        <v>1934</v>
      </c>
      <c r="B214" s="2" t="s">
        <v>1470</v>
      </c>
      <c r="C214" s="2" t="s">
        <v>1935</v>
      </c>
      <c r="D214" s="2" t="s">
        <v>324</v>
      </c>
      <c r="E214" s="2" t="s">
        <v>35</v>
      </c>
      <c r="F214" s="3" t="s">
        <v>1795</v>
      </c>
    </row>
    <row r="215" ht="28.8" spans="1:6">
      <c r="A215" s="2" t="s">
        <v>1936</v>
      </c>
      <c r="B215" s="2" t="s">
        <v>1937</v>
      </c>
      <c r="C215" s="2" t="s">
        <v>1938</v>
      </c>
      <c r="D215" s="2" t="s">
        <v>140</v>
      </c>
      <c r="E215" s="2" t="s">
        <v>35</v>
      </c>
      <c r="F215" s="3" t="s">
        <v>1795</v>
      </c>
    </row>
    <row r="216" spans="1:6">
      <c r="A216" s="2" t="s">
        <v>1939</v>
      </c>
      <c r="B216" s="2" t="s">
        <v>1251</v>
      </c>
      <c r="C216" s="2" t="s">
        <v>1940</v>
      </c>
      <c r="D216" s="2" t="s">
        <v>140</v>
      </c>
      <c r="E216" s="2" t="s">
        <v>35</v>
      </c>
      <c r="F216" s="3" t="s">
        <v>1795</v>
      </c>
    </row>
    <row r="217" spans="1:6">
      <c r="A217" s="2" t="s">
        <v>1941</v>
      </c>
      <c r="B217" s="2" t="s">
        <v>1356</v>
      </c>
      <c r="C217" s="2" t="s">
        <v>1942</v>
      </c>
      <c r="D217" s="2" t="s">
        <v>40</v>
      </c>
      <c r="E217" s="2" t="s">
        <v>1354</v>
      </c>
      <c r="F217" s="2" t="s">
        <v>1439</v>
      </c>
    </row>
    <row r="218" spans="1:6">
      <c r="A218" s="2" t="s">
        <v>1943</v>
      </c>
      <c r="B218" s="2" t="s">
        <v>1356</v>
      </c>
      <c r="C218" s="2" t="s">
        <v>1944</v>
      </c>
      <c r="D218" s="2" t="s">
        <v>40</v>
      </c>
      <c r="E218" s="2" t="s">
        <v>1363</v>
      </c>
      <c r="F218" s="2" t="s">
        <v>1439</v>
      </c>
    </row>
    <row r="219" spans="1:6">
      <c r="A219" s="2" t="s">
        <v>1945</v>
      </c>
      <c r="B219" s="2" t="s">
        <v>1356</v>
      </c>
      <c r="C219" s="2" t="s">
        <v>1946</v>
      </c>
      <c r="D219" s="2" t="s">
        <v>40</v>
      </c>
      <c r="E219" s="2" t="s">
        <v>1368</v>
      </c>
      <c r="F219" s="2" t="s">
        <v>1439</v>
      </c>
    </row>
    <row r="220" spans="1:6">
      <c r="A220" s="2" t="s">
        <v>1947</v>
      </c>
      <c r="B220" s="2" t="s">
        <v>1356</v>
      </c>
      <c r="C220" s="2" t="s">
        <v>1948</v>
      </c>
      <c r="D220" s="2" t="s">
        <v>40</v>
      </c>
      <c r="E220" s="2" t="s">
        <v>35</v>
      </c>
      <c r="F220" s="3" t="s">
        <v>1795</v>
      </c>
    </row>
    <row r="221" spans="1:6">
      <c r="A221" s="2" t="s">
        <v>1949</v>
      </c>
      <c r="B221" s="2" t="s">
        <v>1375</v>
      </c>
      <c r="C221" s="2" t="s">
        <v>1950</v>
      </c>
      <c r="D221" s="2" t="s">
        <v>40</v>
      </c>
      <c r="E221" s="2" t="s">
        <v>1373</v>
      </c>
      <c r="F221" s="2" t="s">
        <v>1439</v>
      </c>
    </row>
    <row r="222" spans="1:6">
      <c r="A222" s="2" t="s">
        <v>1951</v>
      </c>
      <c r="B222" s="2" t="s">
        <v>1375</v>
      </c>
      <c r="C222" s="2" t="s">
        <v>1952</v>
      </c>
      <c r="D222" s="2" t="s">
        <v>40</v>
      </c>
      <c r="E222" s="2" t="s">
        <v>1381</v>
      </c>
      <c r="F222" s="2" t="s">
        <v>1439</v>
      </c>
    </row>
    <row r="223" spans="1:6">
      <c r="A223" s="2" t="s">
        <v>1953</v>
      </c>
      <c r="B223" s="2" t="s">
        <v>1375</v>
      </c>
      <c r="C223" s="2" t="s">
        <v>1954</v>
      </c>
      <c r="D223" s="2" t="s">
        <v>40</v>
      </c>
      <c r="E223" s="2" t="s">
        <v>1386</v>
      </c>
      <c r="F223" s="2" t="s">
        <v>1439</v>
      </c>
    </row>
    <row r="224" spans="1:6">
      <c r="A224" s="2" t="s">
        <v>1955</v>
      </c>
      <c r="B224" s="2" t="s">
        <v>1391</v>
      </c>
      <c r="C224" s="2" t="s">
        <v>1956</v>
      </c>
      <c r="D224" s="2" t="s">
        <v>77</v>
      </c>
      <c r="E224" s="2" t="s">
        <v>1390</v>
      </c>
      <c r="F224" s="2" t="s">
        <v>1439</v>
      </c>
    </row>
    <row r="225" spans="1:6">
      <c r="A225" s="2" t="s">
        <v>1957</v>
      </c>
      <c r="B225" s="2" t="s">
        <v>1391</v>
      </c>
      <c r="C225" s="2" t="s">
        <v>1958</v>
      </c>
      <c r="D225" s="2" t="s">
        <v>77</v>
      </c>
      <c r="E225" s="2" t="s">
        <v>1398</v>
      </c>
      <c r="F225" s="2" t="s">
        <v>1439</v>
      </c>
    </row>
    <row r="226" spans="1:6">
      <c r="A226" s="2" t="s">
        <v>1959</v>
      </c>
      <c r="B226" s="2" t="s">
        <v>1391</v>
      </c>
      <c r="C226" s="2" t="s">
        <v>1960</v>
      </c>
      <c r="D226" s="2" t="s">
        <v>77</v>
      </c>
      <c r="E226" s="2" t="s">
        <v>35</v>
      </c>
      <c r="F226" s="2" t="s">
        <v>1472</v>
      </c>
    </row>
    <row r="227" spans="1:6">
      <c r="A227" s="2" t="s">
        <v>1961</v>
      </c>
      <c r="B227" s="2" t="s">
        <v>1404</v>
      </c>
      <c r="C227" s="2" t="s">
        <v>1962</v>
      </c>
      <c r="D227" s="2" t="s">
        <v>25</v>
      </c>
      <c r="E227" s="2" t="s">
        <v>1403</v>
      </c>
      <c r="F227" s="2" t="s">
        <v>1439</v>
      </c>
    </row>
    <row r="228" spans="1:6">
      <c r="A228" s="2" t="s">
        <v>1963</v>
      </c>
      <c r="B228" s="2" t="s">
        <v>1404</v>
      </c>
      <c r="C228" s="2" t="s">
        <v>1964</v>
      </c>
      <c r="D228" s="2" t="s">
        <v>25</v>
      </c>
      <c r="E228" s="2" t="s">
        <v>1409</v>
      </c>
      <c r="F228" s="2" t="s">
        <v>1439</v>
      </c>
    </row>
    <row r="229" spans="1:6">
      <c r="A229" s="2" t="s">
        <v>1965</v>
      </c>
      <c r="B229" s="2" t="s">
        <v>1404</v>
      </c>
      <c r="C229" s="2" t="s">
        <v>1966</v>
      </c>
      <c r="D229" s="2" t="s">
        <v>25</v>
      </c>
      <c r="E229" s="2" t="s">
        <v>1414</v>
      </c>
      <c r="F229" s="2" t="s">
        <v>1439</v>
      </c>
    </row>
    <row r="230" spans="1:6">
      <c r="A230" s="2" t="s">
        <v>1967</v>
      </c>
      <c r="B230" s="2" t="s">
        <v>671</v>
      </c>
      <c r="C230" s="2" t="s">
        <v>1968</v>
      </c>
      <c r="D230" s="2" t="s">
        <v>25</v>
      </c>
      <c r="E230" s="2" t="s">
        <v>1418</v>
      </c>
      <c r="F230" s="2" t="s">
        <v>1439</v>
      </c>
    </row>
    <row r="231" spans="1:6">
      <c r="A231" s="2" t="s">
        <v>1969</v>
      </c>
      <c r="B231" s="2" t="s">
        <v>113</v>
      </c>
      <c r="C231" s="2" t="s">
        <v>1970</v>
      </c>
      <c r="D231" s="2" t="s">
        <v>140</v>
      </c>
      <c r="E231" s="2" t="s">
        <v>245</v>
      </c>
      <c r="F231" s="2" t="s">
        <v>1439</v>
      </c>
    </row>
    <row r="232" ht="28.8" spans="1:6">
      <c r="A232" s="2" t="s">
        <v>1971</v>
      </c>
      <c r="B232" s="2" t="s">
        <v>1549</v>
      </c>
      <c r="C232" s="2" t="s">
        <v>1972</v>
      </c>
      <c r="D232" s="2" t="s">
        <v>116</v>
      </c>
      <c r="E232" s="2" t="s">
        <v>252</v>
      </c>
      <c r="F232" s="2" t="s">
        <v>1439</v>
      </c>
    </row>
    <row r="233" spans="1:6">
      <c r="A233" s="2" t="s">
        <v>1973</v>
      </c>
      <c r="B233" s="2" t="s">
        <v>113</v>
      </c>
      <c r="C233" s="2" t="s">
        <v>1974</v>
      </c>
      <c r="D233" s="2" t="s">
        <v>77</v>
      </c>
      <c r="E233" s="2" t="s">
        <v>258</v>
      </c>
      <c r="F233" s="2" t="s">
        <v>1439</v>
      </c>
    </row>
    <row r="234" spans="1:6">
      <c r="A234" s="2" t="s">
        <v>1975</v>
      </c>
      <c r="B234" s="2" t="s">
        <v>113</v>
      </c>
      <c r="C234" s="2" t="s">
        <v>1976</v>
      </c>
      <c r="D234" s="2" t="s">
        <v>116</v>
      </c>
      <c r="E234" s="2" t="s">
        <v>265</v>
      </c>
      <c r="F234" s="2" t="s">
        <v>1439</v>
      </c>
    </row>
    <row r="235" spans="1:6">
      <c r="A235" s="2" t="s">
        <v>1977</v>
      </c>
      <c r="B235" s="2" t="s">
        <v>113</v>
      </c>
      <c r="C235" s="2" t="s">
        <v>1978</v>
      </c>
      <c r="D235" s="2" t="s">
        <v>116</v>
      </c>
      <c r="E235" s="2" t="s">
        <v>35</v>
      </c>
      <c r="F235" s="3" t="s">
        <v>1795</v>
      </c>
    </row>
    <row r="236" spans="1:6">
      <c r="A236" s="2" t="s">
        <v>1979</v>
      </c>
      <c r="B236" s="2" t="s">
        <v>113</v>
      </c>
      <c r="C236" s="2" t="s">
        <v>1980</v>
      </c>
      <c r="D236" s="2" t="s">
        <v>116</v>
      </c>
      <c r="E236" s="2" t="s">
        <v>35</v>
      </c>
      <c r="F236" s="3" t="s">
        <v>1795</v>
      </c>
    </row>
    <row r="237" spans="1:6">
      <c r="A237" s="2" t="s">
        <v>1981</v>
      </c>
      <c r="B237" s="2" t="s">
        <v>274</v>
      </c>
      <c r="C237" s="2" t="s">
        <v>1982</v>
      </c>
      <c r="D237" s="2" t="s">
        <v>105</v>
      </c>
      <c r="E237" s="2" t="s">
        <v>377</v>
      </c>
      <c r="F237" s="2" t="s">
        <v>1439</v>
      </c>
    </row>
    <row r="238" spans="1:6">
      <c r="A238" s="2" t="s">
        <v>1983</v>
      </c>
      <c r="B238" s="2" t="s">
        <v>637</v>
      </c>
      <c r="C238" s="2" t="s">
        <v>1984</v>
      </c>
      <c r="D238" s="2" t="s">
        <v>40</v>
      </c>
      <c r="E238" s="2" t="s">
        <v>662</v>
      </c>
      <c r="F238" s="2" t="s">
        <v>1439</v>
      </c>
    </row>
    <row r="239" spans="1:6">
      <c r="A239" s="2" t="s">
        <v>1985</v>
      </c>
      <c r="B239" s="2" t="s">
        <v>671</v>
      </c>
      <c r="C239" s="2" t="s">
        <v>1986</v>
      </c>
      <c r="D239" s="2" t="s">
        <v>77</v>
      </c>
      <c r="E239" s="2" t="s">
        <v>934</v>
      </c>
      <c r="F239" s="2" t="s">
        <v>1439</v>
      </c>
    </row>
    <row r="240" spans="1:6">
      <c r="A240" s="2" t="s">
        <v>1987</v>
      </c>
      <c r="B240" s="2" t="s">
        <v>671</v>
      </c>
      <c r="C240" s="2" t="s">
        <v>1988</v>
      </c>
      <c r="D240" s="2" t="s">
        <v>140</v>
      </c>
      <c r="E240" s="2" t="s">
        <v>941</v>
      </c>
      <c r="F240" s="2" t="s">
        <v>1439</v>
      </c>
    </row>
    <row r="241" spans="1:6">
      <c r="A241" s="2" t="s">
        <v>1989</v>
      </c>
      <c r="B241" s="2" t="s">
        <v>671</v>
      </c>
      <c r="C241" s="2" t="s">
        <v>1990</v>
      </c>
      <c r="D241" s="2" t="s">
        <v>25</v>
      </c>
      <c r="E241" s="2" t="s">
        <v>35</v>
      </c>
      <c r="F241" s="3" t="s">
        <v>1795</v>
      </c>
    </row>
    <row r="242" spans="1:6">
      <c r="A242" s="2" t="s">
        <v>1991</v>
      </c>
      <c r="B242" s="2" t="s">
        <v>102</v>
      </c>
      <c r="C242" s="2" t="s">
        <v>1992</v>
      </c>
      <c r="D242" s="2" t="s">
        <v>77</v>
      </c>
      <c r="E242" s="2" t="s">
        <v>35</v>
      </c>
      <c r="F242" s="3" t="s">
        <v>1795</v>
      </c>
    </row>
    <row r="243" spans="1:6">
      <c r="A243" s="2" t="s">
        <v>1993</v>
      </c>
      <c r="B243" s="2" t="s">
        <v>102</v>
      </c>
      <c r="C243" s="2" t="s">
        <v>1994</v>
      </c>
      <c r="D243" s="2" t="s">
        <v>105</v>
      </c>
      <c r="E243" s="2" t="s">
        <v>35</v>
      </c>
      <c r="F243" s="3" t="s">
        <v>1795</v>
      </c>
    </row>
    <row r="244" spans="1:6">
      <c r="A244" s="2" t="s">
        <v>1995</v>
      </c>
      <c r="B244" s="2" t="s">
        <v>950</v>
      </c>
      <c r="C244" s="2" t="s">
        <v>1996</v>
      </c>
      <c r="D244" s="2" t="s">
        <v>40</v>
      </c>
      <c r="E244" s="2" t="s">
        <v>1010</v>
      </c>
      <c r="F244" s="2" t="s">
        <v>1439</v>
      </c>
    </row>
    <row r="245" ht="28.8" spans="1:6">
      <c r="A245" s="2" t="s">
        <v>1997</v>
      </c>
      <c r="B245" s="2" t="s">
        <v>1998</v>
      </c>
      <c r="C245" s="2" t="s">
        <v>1999</v>
      </c>
      <c r="D245" s="2" t="s">
        <v>140</v>
      </c>
      <c r="E245" s="2" t="s">
        <v>1125</v>
      </c>
      <c r="F245" s="2" t="s">
        <v>1439</v>
      </c>
    </row>
    <row r="246" spans="1:6">
      <c r="A246" s="2" t="s">
        <v>2000</v>
      </c>
      <c r="B246" s="2" t="s">
        <v>950</v>
      </c>
      <c r="C246" s="2" t="s">
        <v>2001</v>
      </c>
      <c r="D246" s="2" t="s">
        <v>40</v>
      </c>
      <c r="E246" s="2" t="s">
        <v>1131</v>
      </c>
      <c r="F246" s="2" t="s">
        <v>1439</v>
      </c>
    </row>
    <row r="247" spans="1:6">
      <c r="A247" s="2" t="s">
        <v>2002</v>
      </c>
      <c r="B247" s="2" t="s">
        <v>950</v>
      </c>
      <c r="C247" s="2" t="s">
        <v>2003</v>
      </c>
      <c r="D247" s="2" t="s">
        <v>40</v>
      </c>
      <c r="E247" s="2" t="s">
        <v>1136</v>
      </c>
      <c r="F247" s="2" t="s">
        <v>1439</v>
      </c>
    </row>
    <row r="248" spans="1:6">
      <c r="A248" s="2" t="s">
        <v>2004</v>
      </c>
      <c r="B248" s="2" t="s">
        <v>1208</v>
      </c>
      <c r="C248" s="2" t="s">
        <v>2005</v>
      </c>
      <c r="D248" s="2" t="s">
        <v>140</v>
      </c>
      <c r="E248" s="2" t="s">
        <v>1340</v>
      </c>
      <c r="F248" s="2" t="s">
        <v>1439</v>
      </c>
    </row>
    <row r="249" ht="28.8" spans="1:6">
      <c r="A249" s="2" t="s">
        <v>2006</v>
      </c>
      <c r="B249" s="2" t="s">
        <v>2007</v>
      </c>
      <c r="C249" s="2" t="s">
        <v>2008</v>
      </c>
      <c r="D249" s="2" t="s">
        <v>140</v>
      </c>
      <c r="E249" s="2" t="s">
        <v>1347</v>
      </c>
      <c r="F249" s="2" t="s">
        <v>1439</v>
      </c>
    </row>
    <row r="250" spans="1:6">
      <c r="A250" s="2" t="s">
        <v>2009</v>
      </c>
      <c r="B250" s="2" t="s">
        <v>1153</v>
      </c>
      <c r="C250" s="2" t="s">
        <v>2010</v>
      </c>
      <c r="D250" s="2" t="s">
        <v>40</v>
      </c>
      <c r="E250" s="2" t="s">
        <v>35</v>
      </c>
      <c r="F250" s="3" t="s">
        <v>1795</v>
      </c>
    </row>
    <row r="251" spans="1:6">
      <c r="A251" s="2" t="s">
        <v>2011</v>
      </c>
      <c r="B251" s="2" t="s">
        <v>1304</v>
      </c>
      <c r="C251" s="2" t="s">
        <v>2012</v>
      </c>
      <c r="D251" s="2" t="s">
        <v>116</v>
      </c>
      <c r="E251" s="2" t="s">
        <v>35</v>
      </c>
      <c r="F251" s="3" t="s">
        <v>1795</v>
      </c>
    </row>
    <row r="252" spans="1:6">
      <c r="A252" s="2" t="s">
        <v>2013</v>
      </c>
      <c r="B252" s="2" t="s">
        <v>37</v>
      </c>
      <c r="C252" s="2" t="s">
        <v>2014</v>
      </c>
      <c r="D252" s="2" t="s">
        <v>105</v>
      </c>
      <c r="E252" s="2" t="s">
        <v>35</v>
      </c>
      <c r="F252" s="3" t="s">
        <v>1795</v>
      </c>
    </row>
    <row r="253" spans="1:6">
      <c r="A253" s="2" t="s">
        <v>2015</v>
      </c>
      <c r="B253" s="2" t="s">
        <v>102</v>
      </c>
      <c r="C253" s="2" t="s">
        <v>2016</v>
      </c>
      <c r="D253" s="2" t="s">
        <v>105</v>
      </c>
      <c r="E253" s="2" t="s">
        <v>35</v>
      </c>
      <c r="F253" s="3" t="s">
        <v>1795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8"/>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4.4" outlineLevelCol="5"/>
  <cols>
    <col min="1" max="1" width="16" customWidth="1"/>
    <col min="2" max="2" width="12" customWidth="1"/>
    <col min="3" max="3" width="60" customWidth="1"/>
    <col min="4" max="4" width="18" customWidth="1"/>
    <col min="5" max="5" width="40" customWidth="1"/>
    <col min="6" max="6" width="22" customWidth="1"/>
  </cols>
  <sheetData>
    <row r="1" spans="1:6">
      <c r="A1" s="1" t="s">
        <v>2017</v>
      </c>
      <c r="B1" s="1" t="s">
        <v>2</v>
      </c>
      <c r="C1" s="1" t="s">
        <v>2018</v>
      </c>
      <c r="D1" s="1" t="s">
        <v>2019</v>
      </c>
      <c r="E1" s="1" t="s">
        <v>1435</v>
      </c>
      <c r="F1" s="1" t="s">
        <v>1436</v>
      </c>
    </row>
    <row r="2" ht="43.2" spans="1:6">
      <c r="A2" s="2" t="s">
        <v>2020</v>
      </c>
      <c r="B2" s="2" t="s">
        <v>37</v>
      </c>
      <c r="C2" s="2" t="s">
        <v>2020</v>
      </c>
      <c r="D2" s="2" t="s">
        <v>2021</v>
      </c>
      <c r="E2" s="2" t="s">
        <v>2022</v>
      </c>
      <c r="F2" s="2" t="s">
        <v>1439</v>
      </c>
    </row>
    <row r="3" spans="1:6">
      <c r="A3" s="2" t="s">
        <v>2023</v>
      </c>
      <c r="B3" s="2" t="s">
        <v>37</v>
      </c>
      <c r="C3" s="2" t="s">
        <v>2023</v>
      </c>
      <c r="D3" s="2" t="s">
        <v>1507</v>
      </c>
      <c r="E3" s="2" t="s">
        <v>64</v>
      </c>
      <c r="F3" s="3" t="s">
        <v>2024</v>
      </c>
    </row>
    <row r="4" spans="1:6">
      <c r="A4" s="2" t="s">
        <v>2025</v>
      </c>
      <c r="B4" s="2" t="s">
        <v>37</v>
      </c>
      <c r="C4" s="2" t="s">
        <v>2025</v>
      </c>
      <c r="D4" s="2" t="s">
        <v>2026</v>
      </c>
      <c r="E4" s="2" t="s">
        <v>2027</v>
      </c>
      <c r="F4" s="2" t="s">
        <v>1439</v>
      </c>
    </row>
    <row r="5" spans="1:6">
      <c r="A5" s="2" t="s">
        <v>2028</v>
      </c>
      <c r="B5" s="2" t="s">
        <v>37</v>
      </c>
      <c r="C5" s="2" t="s">
        <v>2028</v>
      </c>
      <c r="D5" s="2" t="s">
        <v>1511</v>
      </c>
      <c r="E5" s="2" t="s">
        <v>81</v>
      </c>
      <c r="F5" s="3" t="s">
        <v>2024</v>
      </c>
    </row>
    <row r="6" spans="1:6">
      <c r="A6" s="2" t="s">
        <v>2029</v>
      </c>
      <c r="B6" s="2" t="s">
        <v>37</v>
      </c>
      <c r="C6" s="2" t="s">
        <v>2029</v>
      </c>
      <c r="D6" s="2" t="s">
        <v>1513</v>
      </c>
      <c r="E6" s="2" t="s">
        <v>88</v>
      </c>
      <c r="F6" s="3" t="s">
        <v>2024</v>
      </c>
    </row>
    <row r="7" spans="1:6">
      <c r="A7" s="2" t="s">
        <v>2030</v>
      </c>
      <c r="B7" s="2" t="s">
        <v>37</v>
      </c>
      <c r="C7" s="2" t="s">
        <v>2030</v>
      </c>
      <c r="D7" s="2" t="s">
        <v>35</v>
      </c>
      <c r="E7" s="2" t="s">
        <v>35</v>
      </c>
      <c r="F7" s="3" t="s">
        <v>1795</v>
      </c>
    </row>
    <row r="8" spans="1:6">
      <c r="A8" s="2" t="s">
        <v>2031</v>
      </c>
      <c r="B8" s="2" t="s">
        <v>95</v>
      </c>
      <c r="C8" s="2" t="s">
        <v>2031</v>
      </c>
      <c r="D8" s="2" t="s">
        <v>2032</v>
      </c>
      <c r="E8" s="2" t="s">
        <v>2033</v>
      </c>
      <c r="F8" s="2" t="s">
        <v>1439</v>
      </c>
    </row>
    <row r="9" spans="1:6">
      <c r="A9" s="2" t="s">
        <v>2034</v>
      </c>
      <c r="B9" s="2" t="s">
        <v>95</v>
      </c>
      <c r="C9" s="2" t="s">
        <v>2034</v>
      </c>
      <c r="D9" s="2" t="s">
        <v>1670</v>
      </c>
      <c r="E9" s="2" t="s">
        <v>600</v>
      </c>
      <c r="F9" s="2" t="s">
        <v>1439</v>
      </c>
    </row>
    <row r="10" spans="1:6">
      <c r="A10" s="2" t="s">
        <v>2035</v>
      </c>
      <c r="B10" s="2" t="s">
        <v>95</v>
      </c>
      <c r="C10" s="2" t="s">
        <v>2035</v>
      </c>
      <c r="D10" s="2" t="s">
        <v>1673</v>
      </c>
      <c r="E10" s="2" t="s">
        <v>606</v>
      </c>
      <c r="F10" s="2" t="s">
        <v>1439</v>
      </c>
    </row>
    <row r="11" spans="1:6">
      <c r="A11" s="2" t="s">
        <v>2036</v>
      </c>
      <c r="B11" s="2" t="s">
        <v>95</v>
      </c>
      <c r="C11" s="2" t="s">
        <v>2036</v>
      </c>
      <c r="D11" s="2" t="s">
        <v>1675</v>
      </c>
      <c r="E11" s="2" t="s">
        <v>611</v>
      </c>
      <c r="F11" s="2" t="s">
        <v>1439</v>
      </c>
    </row>
    <row r="12" spans="1:6">
      <c r="A12" s="2" t="s">
        <v>2037</v>
      </c>
      <c r="B12" s="2" t="s">
        <v>95</v>
      </c>
      <c r="C12" s="2" t="s">
        <v>2037</v>
      </c>
      <c r="D12" s="2" t="s">
        <v>1677</v>
      </c>
      <c r="E12" s="2" t="s">
        <v>616</v>
      </c>
      <c r="F12" s="2" t="s">
        <v>1439</v>
      </c>
    </row>
    <row r="13" spans="1:6">
      <c r="A13" s="2" t="s">
        <v>2038</v>
      </c>
      <c r="B13" s="2" t="s">
        <v>95</v>
      </c>
      <c r="C13" s="2" t="s">
        <v>2038</v>
      </c>
      <c r="D13" s="2" t="s">
        <v>1679</v>
      </c>
      <c r="E13" s="2" t="s">
        <v>621</v>
      </c>
      <c r="F13" s="2" t="s">
        <v>1439</v>
      </c>
    </row>
    <row r="14" spans="1:6">
      <c r="A14" s="2" t="s">
        <v>2039</v>
      </c>
      <c r="B14" s="2" t="s">
        <v>637</v>
      </c>
      <c r="C14" s="2" t="s">
        <v>2039</v>
      </c>
      <c r="D14" s="2" t="s">
        <v>2040</v>
      </c>
      <c r="E14" s="2" t="s">
        <v>2041</v>
      </c>
      <c r="F14" s="3" t="s">
        <v>2024</v>
      </c>
    </row>
    <row r="15" spans="1:6">
      <c r="A15" s="2" t="s">
        <v>2042</v>
      </c>
      <c r="B15" s="2" t="s">
        <v>637</v>
      </c>
      <c r="C15" s="2" t="s">
        <v>2042</v>
      </c>
      <c r="D15" s="2" t="s">
        <v>1983</v>
      </c>
      <c r="E15" s="2" t="s">
        <v>662</v>
      </c>
      <c r="F15" s="3" t="s">
        <v>2024</v>
      </c>
    </row>
    <row r="16" spans="1:6">
      <c r="A16" s="2" t="s">
        <v>2043</v>
      </c>
      <c r="B16" s="2" t="s">
        <v>637</v>
      </c>
      <c r="C16" s="2" t="s">
        <v>2043</v>
      </c>
      <c r="D16" s="2" t="s">
        <v>2044</v>
      </c>
      <c r="E16" s="2" t="s">
        <v>2045</v>
      </c>
      <c r="F16" s="3" t="s">
        <v>2024</v>
      </c>
    </row>
    <row r="17" spans="1:6">
      <c r="A17" s="2" t="s">
        <v>2046</v>
      </c>
      <c r="B17" s="2" t="s">
        <v>632</v>
      </c>
      <c r="C17" s="2" t="s">
        <v>2046</v>
      </c>
      <c r="D17" s="2" t="s">
        <v>1683</v>
      </c>
      <c r="E17" s="2" t="s">
        <v>631</v>
      </c>
      <c r="F17" s="2" t="s">
        <v>1439</v>
      </c>
    </row>
    <row r="18" spans="1:6">
      <c r="A18" s="2" t="s">
        <v>2047</v>
      </c>
      <c r="B18" s="2" t="s">
        <v>632</v>
      </c>
      <c r="C18" s="2" t="s">
        <v>2047</v>
      </c>
      <c r="D18" s="2" t="s">
        <v>1683</v>
      </c>
      <c r="E18" s="2" t="s">
        <v>631</v>
      </c>
      <c r="F18" s="2" t="s">
        <v>1439</v>
      </c>
    </row>
    <row r="19" spans="1:6">
      <c r="A19" s="2" t="s">
        <v>2048</v>
      </c>
      <c r="B19" s="2" t="s">
        <v>1485</v>
      </c>
      <c r="C19" s="2" t="s">
        <v>2048</v>
      </c>
      <c r="D19" s="2" t="s">
        <v>1553</v>
      </c>
      <c r="E19" s="2" t="s">
        <v>228</v>
      </c>
      <c r="F19" s="2" t="s">
        <v>1439</v>
      </c>
    </row>
    <row r="20" spans="1:6">
      <c r="A20" s="2" t="s">
        <v>2049</v>
      </c>
      <c r="B20" s="2" t="s">
        <v>1485</v>
      </c>
      <c r="C20" s="2" t="s">
        <v>2049</v>
      </c>
      <c r="D20" s="2" t="s">
        <v>1553</v>
      </c>
      <c r="E20" s="2" t="s">
        <v>228</v>
      </c>
      <c r="F20" s="2" t="s">
        <v>1439</v>
      </c>
    </row>
    <row r="21" spans="1:6">
      <c r="A21" s="2" t="s">
        <v>2050</v>
      </c>
      <c r="B21" s="2" t="s">
        <v>1404</v>
      </c>
      <c r="C21" s="2" t="s">
        <v>2050</v>
      </c>
      <c r="D21" s="2" t="s">
        <v>1961</v>
      </c>
      <c r="E21" s="2" t="s">
        <v>1403</v>
      </c>
      <c r="F21" s="2" t="s">
        <v>1439</v>
      </c>
    </row>
    <row r="22" spans="1:6">
      <c r="A22" s="2" t="s">
        <v>2051</v>
      </c>
      <c r="B22" s="2" t="s">
        <v>1404</v>
      </c>
      <c r="C22" s="2" t="s">
        <v>2051</v>
      </c>
      <c r="D22" s="2" t="s">
        <v>1963</v>
      </c>
      <c r="E22" s="2" t="s">
        <v>1409</v>
      </c>
      <c r="F22" s="2" t="s">
        <v>1439</v>
      </c>
    </row>
    <row r="23" spans="1:6">
      <c r="A23" s="2" t="s">
        <v>2052</v>
      </c>
      <c r="B23" s="2" t="s">
        <v>1404</v>
      </c>
      <c r="C23" s="2" t="s">
        <v>2052</v>
      </c>
      <c r="D23" s="2" t="s">
        <v>1965</v>
      </c>
      <c r="E23" s="2" t="s">
        <v>1414</v>
      </c>
      <c r="F23" s="2" t="s">
        <v>1439</v>
      </c>
    </row>
    <row r="24" spans="1:6">
      <c r="A24" s="2" t="s">
        <v>2053</v>
      </c>
      <c r="B24" s="2" t="s">
        <v>1391</v>
      </c>
      <c r="C24" s="2" t="s">
        <v>2053</v>
      </c>
      <c r="D24" s="2" t="s">
        <v>1955</v>
      </c>
      <c r="E24" s="2" t="s">
        <v>1390</v>
      </c>
      <c r="F24" s="2" t="s">
        <v>1439</v>
      </c>
    </row>
    <row r="25" spans="1:6">
      <c r="A25" s="2" t="s">
        <v>2054</v>
      </c>
      <c r="B25" s="2" t="s">
        <v>1391</v>
      </c>
      <c r="C25" s="2" t="s">
        <v>2054</v>
      </c>
      <c r="D25" s="2" t="s">
        <v>1957</v>
      </c>
      <c r="E25" s="2" t="s">
        <v>1398</v>
      </c>
      <c r="F25" s="2" t="s">
        <v>1439</v>
      </c>
    </row>
    <row r="26" spans="1:6">
      <c r="A26" s="2" t="s">
        <v>2055</v>
      </c>
      <c r="B26" s="2" t="s">
        <v>1375</v>
      </c>
      <c r="C26" s="2" t="s">
        <v>2055</v>
      </c>
      <c r="D26" s="2" t="s">
        <v>1949</v>
      </c>
      <c r="E26" s="2" t="s">
        <v>1373</v>
      </c>
      <c r="F26" s="2" t="s">
        <v>1439</v>
      </c>
    </row>
    <row r="27" spans="1:6">
      <c r="A27" s="2" t="s">
        <v>2056</v>
      </c>
      <c r="B27" s="2" t="s">
        <v>1375</v>
      </c>
      <c r="C27" s="2" t="s">
        <v>2056</v>
      </c>
      <c r="D27" s="2" t="s">
        <v>1951</v>
      </c>
      <c r="E27" s="2" t="s">
        <v>1381</v>
      </c>
      <c r="F27" s="2" t="s">
        <v>1439</v>
      </c>
    </row>
    <row r="28" spans="1:6">
      <c r="A28" s="2" t="s">
        <v>2057</v>
      </c>
      <c r="B28" s="2" t="s">
        <v>1375</v>
      </c>
      <c r="C28" s="2" t="s">
        <v>2057</v>
      </c>
      <c r="D28" s="2" t="s">
        <v>1953</v>
      </c>
      <c r="E28" s="2" t="s">
        <v>1386</v>
      </c>
      <c r="F28" s="2" t="s">
        <v>1439</v>
      </c>
    </row>
    <row r="29" spans="1:6">
      <c r="A29" s="2" t="s">
        <v>2058</v>
      </c>
      <c r="B29" s="2" t="s">
        <v>113</v>
      </c>
      <c r="C29" s="2" t="s">
        <v>2058</v>
      </c>
      <c r="D29" s="2" t="s">
        <v>1523</v>
      </c>
      <c r="E29" s="2" t="s">
        <v>130</v>
      </c>
      <c r="F29" s="3" t="s">
        <v>2024</v>
      </c>
    </row>
    <row r="30" spans="1:6">
      <c r="A30" s="2" t="s">
        <v>2059</v>
      </c>
      <c r="B30" s="2" t="s">
        <v>113</v>
      </c>
      <c r="C30" s="2" t="s">
        <v>2059</v>
      </c>
      <c r="D30" s="2" t="s">
        <v>1969</v>
      </c>
      <c r="E30" s="2" t="s">
        <v>245</v>
      </c>
      <c r="F30" s="2" t="s">
        <v>1439</v>
      </c>
    </row>
    <row r="31" spans="1:6">
      <c r="A31" s="2" t="s">
        <v>2060</v>
      </c>
      <c r="B31" s="2" t="s">
        <v>113</v>
      </c>
      <c r="C31" s="2" t="s">
        <v>2060</v>
      </c>
      <c r="D31" s="2" t="s">
        <v>35</v>
      </c>
      <c r="E31" s="2" t="s">
        <v>35</v>
      </c>
      <c r="F31" s="3" t="s">
        <v>1795</v>
      </c>
    </row>
    <row r="32" spans="1:6">
      <c r="A32" s="2" t="s">
        <v>2061</v>
      </c>
      <c r="B32" s="2" t="s">
        <v>113</v>
      </c>
      <c r="C32" s="2" t="s">
        <v>2061</v>
      </c>
      <c r="D32" s="2" t="s">
        <v>1971</v>
      </c>
      <c r="E32" s="2" t="s">
        <v>252</v>
      </c>
      <c r="F32" s="2" t="s">
        <v>1439</v>
      </c>
    </row>
    <row r="33" spans="1:6">
      <c r="A33" s="2" t="s">
        <v>2062</v>
      </c>
      <c r="B33" s="2" t="s">
        <v>113</v>
      </c>
      <c r="C33" s="2" t="s">
        <v>2062</v>
      </c>
      <c r="D33" s="2" t="s">
        <v>35</v>
      </c>
      <c r="E33" s="2" t="s">
        <v>35</v>
      </c>
      <c r="F33" s="3" t="s">
        <v>1795</v>
      </c>
    </row>
    <row r="34" spans="1:6">
      <c r="A34" s="2" t="s">
        <v>2063</v>
      </c>
      <c r="B34" s="2" t="s">
        <v>113</v>
      </c>
      <c r="C34" s="2" t="s">
        <v>2063</v>
      </c>
      <c r="D34" s="2" t="s">
        <v>1519</v>
      </c>
      <c r="E34" s="2" t="s">
        <v>111</v>
      </c>
      <c r="F34" s="2" t="s">
        <v>1439</v>
      </c>
    </row>
    <row r="35" spans="1:6">
      <c r="A35" s="2" t="s">
        <v>2064</v>
      </c>
      <c r="B35" s="2" t="s">
        <v>113</v>
      </c>
      <c r="C35" s="2" t="s">
        <v>2064</v>
      </c>
      <c r="D35" s="2" t="s">
        <v>1521</v>
      </c>
      <c r="E35" s="2" t="s">
        <v>123</v>
      </c>
      <c r="F35" s="2" t="s">
        <v>1439</v>
      </c>
    </row>
    <row r="36" spans="1:6">
      <c r="A36" s="2" t="s">
        <v>2065</v>
      </c>
      <c r="B36" s="2" t="s">
        <v>113</v>
      </c>
      <c r="C36" s="2" t="s">
        <v>2065</v>
      </c>
      <c r="D36" s="2" t="s">
        <v>1527</v>
      </c>
      <c r="E36" s="2" t="s">
        <v>147</v>
      </c>
      <c r="F36" s="3" t="s">
        <v>2024</v>
      </c>
    </row>
    <row r="37" spans="1:6">
      <c r="A37" s="2" t="s">
        <v>2066</v>
      </c>
      <c r="B37" s="2" t="s">
        <v>113</v>
      </c>
      <c r="C37" s="2" t="s">
        <v>2066</v>
      </c>
      <c r="D37" s="2" t="s">
        <v>2067</v>
      </c>
      <c r="E37" s="2" t="s">
        <v>2068</v>
      </c>
      <c r="F37" s="2" t="s">
        <v>1439</v>
      </c>
    </row>
    <row r="38" spans="1:6">
      <c r="A38" s="2" t="s">
        <v>2069</v>
      </c>
      <c r="B38" s="2" t="s">
        <v>113</v>
      </c>
      <c r="C38" s="2" t="s">
        <v>2069</v>
      </c>
      <c r="D38" s="2" t="s">
        <v>1531</v>
      </c>
      <c r="E38" s="2" t="s">
        <v>160</v>
      </c>
      <c r="F38" s="2" t="s">
        <v>1439</v>
      </c>
    </row>
    <row r="39" spans="1:6">
      <c r="A39" s="2" t="s">
        <v>2070</v>
      </c>
      <c r="B39" s="2" t="s">
        <v>113</v>
      </c>
      <c r="C39" s="2" t="s">
        <v>2070</v>
      </c>
      <c r="D39" s="2" t="s">
        <v>1534</v>
      </c>
      <c r="E39" s="2" t="s">
        <v>169</v>
      </c>
      <c r="F39" s="2" t="s">
        <v>1439</v>
      </c>
    </row>
    <row r="40" spans="1:6">
      <c r="A40" s="2" t="s">
        <v>2071</v>
      </c>
      <c r="B40" s="2" t="s">
        <v>113</v>
      </c>
      <c r="C40" s="2" t="s">
        <v>2071</v>
      </c>
      <c r="D40" s="2" t="s">
        <v>1564</v>
      </c>
      <c r="E40" s="2" t="s">
        <v>287</v>
      </c>
      <c r="F40" s="2" t="s">
        <v>1439</v>
      </c>
    </row>
    <row r="41" spans="1:6">
      <c r="A41" s="2" t="s">
        <v>2072</v>
      </c>
      <c r="B41" s="2" t="s">
        <v>113</v>
      </c>
      <c r="C41" s="2" t="s">
        <v>2072</v>
      </c>
      <c r="D41" s="2" t="s">
        <v>1536</v>
      </c>
      <c r="E41" s="2" t="s">
        <v>173</v>
      </c>
      <c r="F41" s="3" t="s">
        <v>2024</v>
      </c>
    </row>
    <row r="42" spans="1:6">
      <c r="A42" s="2" t="s">
        <v>2073</v>
      </c>
      <c r="B42" s="2" t="s">
        <v>113</v>
      </c>
      <c r="C42" s="2" t="s">
        <v>2073</v>
      </c>
      <c r="D42" s="2" t="s">
        <v>1538</v>
      </c>
      <c r="E42" s="2" t="s">
        <v>181</v>
      </c>
      <c r="F42" s="3" t="s">
        <v>2024</v>
      </c>
    </row>
    <row r="43" ht="28.8" spans="1:6">
      <c r="A43" s="2" t="s">
        <v>2074</v>
      </c>
      <c r="B43" s="2" t="s">
        <v>113</v>
      </c>
      <c r="C43" s="2" t="s">
        <v>2074</v>
      </c>
      <c r="D43" s="2" t="s">
        <v>2075</v>
      </c>
      <c r="E43" s="2" t="s">
        <v>2076</v>
      </c>
      <c r="F43" s="3" t="s">
        <v>2024</v>
      </c>
    </row>
    <row r="44" spans="1:6">
      <c r="A44" s="2" t="s">
        <v>2077</v>
      </c>
      <c r="B44" s="2" t="s">
        <v>113</v>
      </c>
      <c r="C44" s="2" t="s">
        <v>2077</v>
      </c>
      <c r="D44" s="2" t="s">
        <v>1975</v>
      </c>
      <c r="E44" s="2" t="s">
        <v>265</v>
      </c>
      <c r="F44" s="2" t="s">
        <v>1439</v>
      </c>
    </row>
    <row r="45" ht="28.8" spans="1:6">
      <c r="A45" s="2" t="s">
        <v>2078</v>
      </c>
      <c r="B45" s="2" t="s">
        <v>113</v>
      </c>
      <c r="C45" s="2" t="s">
        <v>2078</v>
      </c>
      <c r="D45" s="2" t="s">
        <v>2079</v>
      </c>
      <c r="E45" s="2" t="s">
        <v>2080</v>
      </c>
      <c r="F45" s="2" t="s">
        <v>1439</v>
      </c>
    </row>
    <row r="46" spans="1:6">
      <c r="A46" s="2" t="s">
        <v>2081</v>
      </c>
      <c r="B46" s="2" t="s">
        <v>113</v>
      </c>
      <c r="C46" s="2" t="s">
        <v>2081</v>
      </c>
      <c r="D46" s="2" t="s">
        <v>2082</v>
      </c>
      <c r="E46" s="2" t="s">
        <v>2083</v>
      </c>
      <c r="F46" s="2" t="s">
        <v>1439</v>
      </c>
    </row>
    <row r="47" spans="1:6">
      <c r="A47" s="2" t="s">
        <v>2084</v>
      </c>
      <c r="B47" s="2" t="s">
        <v>113</v>
      </c>
      <c r="C47" s="2" t="s">
        <v>2084</v>
      </c>
      <c r="D47" s="2" t="s">
        <v>1997</v>
      </c>
      <c r="E47" s="2" t="s">
        <v>1125</v>
      </c>
      <c r="F47" s="2" t="s">
        <v>1439</v>
      </c>
    </row>
    <row r="48" spans="1:6">
      <c r="A48" s="2" t="s">
        <v>2085</v>
      </c>
      <c r="B48" s="2" t="s">
        <v>113</v>
      </c>
      <c r="C48" s="2" t="s">
        <v>2085</v>
      </c>
      <c r="D48" s="2" t="s">
        <v>1551</v>
      </c>
      <c r="E48" s="2" t="s">
        <v>222</v>
      </c>
      <c r="F48" s="3" t="s">
        <v>2024</v>
      </c>
    </row>
    <row r="49" spans="1:6">
      <c r="A49" s="2" t="s">
        <v>2086</v>
      </c>
      <c r="B49" s="2" t="s">
        <v>274</v>
      </c>
      <c r="C49" s="2" t="s">
        <v>2086</v>
      </c>
      <c r="D49" s="2" t="s">
        <v>1560</v>
      </c>
      <c r="E49" s="2" t="s">
        <v>272</v>
      </c>
      <c r="F49" s="2" t="s">
        <v>1439</v>
      </c>
    </row>
    <row r="50" spans="1:6">
      <c r="A50" s="2" t="s">
        <v>2087</v>
      </c>
      <c r="B50" s="2" t="s">
        <v>274</v>
      </c>
      <c r="C50" s="2" t="s">
        <v>2087</v>
      </c>
      <c r="D50" s="2" t="s">
        <v>1562</v>
      </c>
      <c r="E50" s="2" t="s">
        <v>280</v>
      </c>
      <c r="F50" s="3" t="s">
        <v>2024</v>
      </c>
    </row>
    <row r="51" spans="1:6">
      <c r="A51" s="2" t="s">
        <v>2088</v>
      </c>
      <c r="B51" s="2" t="s">
        <v>274</v>
      </c>
      <c r="C51" s="2" t="s">
        <v>2088</v>
      </c>
      <c r="D51" s="2" t="s">
        <v>1564</v>
      </c>
      <c r="E51" s="2" t="s">
        <v>287</v>
      </c>
      <c r="F51" s="2" t="s">
        <v>1439</v>
      </c>
    </row>
    <row r="52" spans="1:6">
      <c r="A52" s="2" t="s">
        <v>2089</v>
      </c>
      <c r="B52" s="2" t="s">
        <v>274</v>
      </c>
      <c r="C52" s="2" t="s">
        <v>2089</v>
      </c>
      <c r="D52" s="2" t="s">
        <v>1567</v>
      </c>
      <c r="E52" s="2" t="s">
        <v>295</v>
      </c>
      <c r="F52" s="2" t="s">
        <v>1439</v>
      </c>
    </row>
    <row r="53" spans="1:6">
      <c r="A53" s="2" t="s">
        <v>2090</v>
      </c>
      <c r="B53" s="2" t="s">
        <v>274</v>
      </c>
      <c r="C53" s="2" t="s">
        <v>2090</v>
      </c>
      <c r="D53" s="2" t="s">
        <v>1570</v>
      </c>
      <c r="E53" s="2" t="s">
        <v>315</v>
      </c>
      <c r="F53" s="3" t="s">
        <v>2024</v>
      </c>
    </row>
    <row r="54" spans="1:6">
      <c r="A54" s="2" t="s">
        <v>2091</v>
      </c>
      <c r="B54" s="2" t="s">
        <v>274</v>
      </c>
      <c r="C54" s="2" t="s">
        <v>2091</v>
      </c>
      <c r="D54" s="2" t="s">
        <v>1572</v>
      </c>
      <c r="E54" s="2" t="s">
        <v>322</v>
      </c>
      <c r="F54" s="3" t="s">
        <v>2024</v>
      </c>
    </row>
    <row r="55" spans="1:6">
      <c r="A55" s="2" t="s">
        <v>2092</v>
      </c>
      <c r="B55" s="2" t="s">
        <v>274</v>
      </c>
      <c r="C55" s="2" t="s">
        <v>2092</v>
      </c>
      <c r="D55" s="2" t="s">
        <v>1574</v>
      </c>
      <c r="E55" s="2" t="s">
        <v>302</v>
      </c>
      <c r="F55" s="3" t="s">
        <v>2024</v>
      </c>
    </row>
    <row r="56" spans="1:6">
      <c r="A56" s="2" t="s">
        <v>2093</v>
      </c>
      <c r="B56" s="2" t="s">
        <v>274</v>
      </c>
      <c r="C56" s="2" t="s">
        <v>2093</v>
      </c>
      <c r="D56" s="2" t="s">
        <v>1576</v>
      </c>
      <c r="E56" s="2" t="s">
        <v>329</v>
      </c>
      <c r="F56" s="3" t="s">
        <v>2024</v>
      </c>
    </row>
    <row r="57" spans="1:6">
      <c r="A57" s="2" t="s">
        <v>2094</v>
      </c>
      <c r="B57" s="2" t="s">
        <v>274</v>
      </c>
      <c r="C57" s="2" t="s">
        <v>2094</v>
      </c>
      <c r="D57" s="2" t="s">
        <v>1578</v>
      </c>
      <c r="E57" s="2" t="s">
        <v>336</v>
      </c>
      <c r="F57" s="3" t="s">
        <v>2024</v>
      </c>
    </row>
    <row r="58" spans="1:6">
      <c r="A58" s="2" t="s">
        <v>2095</v>
      </c>
      <c r="B58" s="2" t="s">
        <v>274</v>
      </c>
      <c r="C58" s="2" t="s">
        <v>2095</v>
      </c>
      <c r="D58" s="2" t="s">
        <v>1580</v>
      </c>
      <c r="E58" s="2" t="s">
        <v>342</v>
      </c>
      <c r="F58" s="3" t="s">
        <v>2024</v>
      </c>
    </row>
    <row r="59" spans="1:6">
      <c r="A59" s="2" t="s">
        <v>2096</v>
      </c>
      <c r="B59" s="2" t="s">
        <v>274</v>
      </c>
      <c r="C59" s="2" t="s">
        <v>2096</v>
      </c>
      <c r="D59" s="2" t="s">
        <v>1582</v>
      </c>
      <c r="E59" s="2" t="s">
        <v>348</v>
      </c>
      <c r="F59" s="3" t="s">
        <v>2024</v>
      </c>
    </row>
    <row r="60" spans="1:6">
      <c r="A60" s="2" t="s">
        <v>2097</v>
      </c>
      <c r="B60" s="2" t="s">
        <v>274</v>
      </c>
      <c r="C60" s="2" t="s">
        <v>2097</v>
      </c>
      <c r="D60" s="2" t="s">
        <v>1584</v>
      </c>
      <c r="E60" s="2" t="s">
        <v>308</v>
      </c>
      <c r="F60" s="2" t="s">
        <v>1439</v>
      </c>
    </row>
    <row r="61" ht="28.8" spans="1:6">
      <c r="A61" s="2" t="s">
        <v>2098</v>
      </c>
      <c r="B61" s="2" t="s">
        <v>274</v>
      </c>
      <c r="C61" s="2" t="s">
        <v>2098</v>
      </c>
      <c r="D61" s="2" t="s">
        <v>2099</v>
      </c>
      <c r="E61" s="2" t="s">
        <v>2100</v>
      </c>
      <c r="F61" s="3" t="s">
        <v>2024</v>
      </c>
    </row>
    <row r="62" spans="1:6">
      <c r="A62" s="2" t="s">
        <v>2101</v>
      </c>
      <c r="B62" s="2" t="s">
        <v>274</v>
      </c>
      <c r="C62" s="2" t="s">
        <v>2101</v>
      </c>
      <c r="D62" s="2" t="s">
        <v>1592</v>
      </c>
      <c r="E62" s="2" t="s">
        <v>370</v>
      </c>
      <c r="F62" s="3" t="s">
        <v>2024</v>
      </c>
    </row>
    <row r="63" spans="1:6">
      <c r="A63" s="2" t="s">
        <v>2102</v>
      </c>
      <c r="B63" s="2" t="s">
        <v>385</v>
      </c>
      <c r="C63" s="2" t="s">
        <v>2102</v>
      </c>
      <c r="D63" s="2" t="s">
        <v>1596</v>
      </c>
      <c r="E63" s="2" t="s">
        <v>389</v>
      </c>
      <c r="F63" s="2" t="s">
        <v>1439</v>
      </c>
    </row>
    <row r="64" spans="1:6">
      <c r="A64" s="2" t="s">
        <v>2103</v>
      </c>
      <c r="B64" s="2" t="s">
        <v>385</v>
      </c>
      <c r="C64" s="2" t="s">
        <v>2103</v>
      </c>
      <c r="D64" s="2" t="s">
        <v>1598</v>
      </c>
      <c r="E64" s="2" t="s">
        <v>396</v>
      </c>
      <c r="F64" s="2" t="s">
        <v>1439</v>
      </c>
    </row>
    <row r="65" spans="1:6">
      <c r="A65" s="2" t="s">
        <v>2104</v>
      </c>
      <c r="B65" s="2" t="s">
        <v>385</v>
      </c>
      <c r="C65" s="2" t="s">
        <v>2104</v>
      </c>
      <c r="D65" s="2" t="s">
        <v>1657</v>
      </c>
      <c r="E65" s="2" t="s">
        <v>566</v>
      </c>
      <c r="F65" s="2" t="s">
        <v>1439</v>
      </c>
    </row>
    <row r="66" spans="1:6">
      <c r="A66" s="2" t="s">
        <v>2105</v>
      </c>
      <c r="B66" s="2" t="s">
        <v>385</v>
      </c>
      <c r="C66" s="2" t="s">
        <v>2105</v>
      </c>
      <c r="D66" s="2" t="s">
        <v>1594</v>
      </c>
      <c r="E66" s="2" t="s">
        <v>383</v>
      </c>
      <c r="F66" s="2" t="s">
        <v>1439</v>
      </c>
    </row>
    <row r="67" spans="1:6">
      <c r="A67" s="2" t="s">
        <v>2106</v>
      </c>
      <c r="B67" s="2" t="s">
        <v>385</v>
      </c>
      <c r="C67" s="2" t="s">
        <v>2106</v>
      </c>
      <c r="D67" s="2" t="s">
        <v>1600</v>
      </c>
      <c r="E67" s="2" t="s">
        <v>401</v>
      </c>
      <c r="F67" s="3" t="s">
        <v>2024</v>
      </c>
    </row>
    <row r="68" spans="1:6">
      <c r="A68" s="2" t="s">
        <v>2107</v>
      </c>
      <c r="B68" s="2" t="s">
        <v>410</v>
      </c>
      <c r="C68" s="2" t="s">
        <v>2107</v>
      </c>
      <c r="D68" s="2" t="s">
        <v>1602</v>
      </c>
      <c r="E68" s="2" t="s">
        <v>408</v>
      </c>
      <c r="F68" s="2" t="s">
        <v>1439</v>
      </c>
    </row>
    <row r="69" spans="1:6">
      <c r="A69" s="2" t="s">
        <v>2108</v>
      </c>
      <c r="B69" s="2" t="s">
        <v>410</v>
      </c>
      <c r="C69" s="2" t="s">
        <v>2108</v>
      </c>
      <c r="D69" s="2" t="s">
        <v>1604</v>
      </c>
      <c r="E69" s="2" t="s">
        <v>415</v>
      </c>
      <c r="F69" s="2" t="s">
        <v>1439</v>
      </c>
    </row>
    <row r="70" spans="1:6">
      <c r="A70" s="2" t="s">
        <v>2109</v>
      </c>
      <c r="B70" s="2" t="s">
        <v>410</v>
      </c>
      <c r="C70" s="2" t="s">
        <v>2109</v>
      </c>
      <c r="D70" s="2" t="s">
        <v>1657</v>
      </c>
      <c r="E70" s="2" t="s">
        <v>566</v>
      </c>
      <c r="F70" s="2" t="s">
        <v>1439</v>
      </c>
    </row>
    <row r="71" spans="1:6">
      <c r="A71" s="2" t="s">
        <v>2110</v>
      </c>
      <c r="B71" s="2" t="s">
        <v>410</v>
      </c>
      <c r="C71" s="2" t="s">
        <v>2110</v>
      </c>
      <c r="D71" s="2" t="s">
        <v>1606</v>
      </c>
      <c r="E71" s="2" t="s">
        <v>422</v>
      </c>
      <c r="F71" s="3" t="s">
        <v>2024</v>
      </c>
    </row>
    <row r="72" spans="1:6">
      <c r="A72" s="2" t="s">
        <v>2111</v>
      </c>
      <c r="B72" s="2" t="s">
        <v>410</v>
      </c>
      <c r="C72" s="2" t="s">
        <v>2111</v>
      </c>
      <c r="D72" s="2" t="s">
        <v>1608</v>
      </c>
      <c r="E72" s="2" t="s">
        <v>430</v>
      </c>
      <c r="F72" s="2" t="s">
        <v>1439</v>
      </c>
    </row>
    <row r="73" spans="1:6">
      <c r="A73" s="2" t="s">
        <v>2112</v>
      </c>
      <c r="B73" s="2" t="s">
        <v>410</v>
      </c>
      <c r="C73" s="2" t="s">
        <v>2112</v>
      </c>
      <c r="D73" s="2" t="s">
        <v>1611</v>
      </c>
      <c r="E73" s="2" t="s">
        <v>437</v>
      </c>
      <c r="F73" s="3" t="s">
        <v>2024</v>
      </c>
    </row>
    <row r="74" spans="1:6">
      <c r="A74" s="2" t="s">
        <v>2113</v>
      </c>
      <c r="B74" s="2" t="s">
        <v>444</v>
      </c>
      <c r="C74" s="2" t="s">
        <v>2113</v>
      </c>
      <c r="D74" s="2" t="s">
        <v>1613</v>
      </c>
      <c r="E74" s="2" t="s">
        <v>442</v>
      </c>
      <c r="F74" s="2" t="s">
        <v>1439</v>
      </c>
    </row>
    <row r="75" spans="1:6">
      <c r="A75" s="2" t="s">
        <v>2114</v>
      </c>
      <c r="B75" s="2" t="s">
        <v>444</v>
      </c>
      <c r="C75" s="2" t="s">
        <v>2114</v>
      </c>
      <c r="D75" s="2" t="s">
        <v>1613</v>
      </c>
      <c r="E75" s="2" t="s">
        <v>442</v>
      </c>
      <c r="F75" s="2" t="s">
        <v>1439</v>
      </c>
    </row>
    <row r="76" spans="1:6">
      <c r="A76" s="2" t="s">
        <v>2115</v>
      </c>
      <c r="B76" s="2" t="s">
        <v>444</v>
      </c>
      <c r="C76" s="2" t="s">
        <v>2115</v>
      </c>
      <c r="D76" s="2" t="s">
        <v>1615</v>
      </c>
      <c r="E76" s="2" t="s">
        <v>449</v>
      </c>
      <c r="F76" s="3" t="s">
        <v>2024</v>
      </c>
    </row>
    <row r="77" spans="1:6">
      <c r="A77" s="2" t="s">
        <v>2116</v>
      </c>
      <c r="B77" s="2" t="s">
        <v>444</v>
      </c>
      <c r="C77" s="2" t="s">
        <v>2116</v>
      </c>
      <c r="D77" s="2" t="s">
        <v>1613</v>
      </c>
      <c r="E77" s="2" t="s">
        <v>442</v>
      </c>
      <c r="F77" s="2" t="s">
        <v>1439</v>
      </c>
    </row>
    <row r="78" spans="1:6">
      <c r="A78" s="2" t="s">
        <v>2117</v>
      </c>
      <c r="B78" s="2" t="s">
        <v>444</v>
      </c>
      <c r="C78" s="2" t="s">
        <v>2117</v>
      </c>
      <c r="D78" s="2" t="s">
        <v>1657</v>
      </c>
      <c r="E78" s="2" t="s">
        <v>566</v>
      </c>
      <c r="F78" s="2" t="s">
        <v>1439</v>
      </c>
    </row>
    <row r="79" spans="1:6">
      <c r="A79" s="2" t="s">
        <v>2118</v>
      </c>
      <c r="B79" s="2" t="s">
        <v>444</v>
      </c>
      <c r="C79" s="2" t="s">
        <v>2118</v>
      </c>
      <c r="D79" s="2" t="s">
        <v>1617</v>
      </c>
      <c r="E79" s="2" t="s">
        <v>454</v>
      </c>
      <c r="F79" s="2" t="s">
        <v>1439</v>
      </c>
    </row>
    <row r="80" spans="1:6">
      <c r="A80" s="2" t="s">
        <v>2119</v>
      </c>
      <c r="B80" s="2" t="s">
        <v>444</v>
      </c>
      <c r="C80" s="2" t="s">
        <v>2119</v>
      </c>
      <c r="D80" s="2" t="s">
        <v>35</v>
      </c>
      <c r="E80" s="2" t="s">
        <v>35</v>
      </c>
      <c r="F80" s="3" t="s">
        <v>1795</v>
      </c>
    </row>
    <row r="81" spans="1:6">
      <c r="A81" s="2" t="s">
        <v>2120</v>
      </c>
      <c r="B81" s="2" t="s">
        <v>461</v>
      </c>
      <c r="C81" s="2" t="s">
        <v>2120</v>
      </c>
      <c r="D81" s="2" t="s">
        <v>1619</v>
      </c>
      <c r="E81" s="2" t="s">
        <v>459</v>
      </c>
      <c r="F81" s="2" t="s">
        <v>1439</v>
      </c>
    </row>
    <row r="82" spans="1:6">
      <c r="A82" s="2" t="s">
        <v>2121</v>
      </c>
      <c r="B82" s="2" t="s">
        <v>461</v>
      </c>
      <c r="C82" s="2" t="s">
        <v>2121</v>
      </c>
      <c r="D82" s="2" t="s">
        <v>1621</v>
      </c>
      <c r="E82" s="2" t="s">
        <v>465</v>
      </c>
      <c r="F82" s="2" t="s">
        <v>1439</v>
      </c>
    </row>
    <row r="83" spans="1:6">
      <c r="A83" s="2" t="s">
        <v>2122</v>
      </c>
      <c r="B83" s="2" t="s">
        <v>461</v>
      </c>
      <c r="C83" s="2" t="s">
        <v>2122</v>
      </c>
      <c r="D83" s="2" t="s">
        <v>1623</v>
      </c>
      <c r="E83" s="2" t="s">
        <v>471</v>
      </c>
      <c r="F83" s="2" t="s">
        <v>1439</v>
      </c>
    </row>
    <row r="84" spans="1:6">
      <c r="A84" s="2" t="s">
        <v>2123</v>
      </c>
      <c r="B84" s="2" t="s">
        <v>461</v>
      </c>
      <c r="C84" s="2" t="s">
        <v>2123</v>
      </c>
      <c r="D84" s="2" t="s">
        <v>1625</v>
      </c>
      <c r="E84" s="2" t="s">
        <v>478</v>
      </c>
      <c r="F84" s="2" t="s">
        <v>1439</v>
      </c>
    </row>
    <row r="85" spans="1:6">
      <c r="A85" s="2" t="s">
        <v>2124</v>
      </c>
      <c r="B85" s="2" t="s">
        <v>461</v>
      </c>
      <c r="C85" s="2" t="s">
        <v>2124</v>
      </c>
      <c r="D85" s="2" t="s">
        <v>1627</v>
      </c>
      <c r="E85" s="2" t="s">
        <v>484</v>
      </c>
      <c r="F85" s="2" t="s">
        <v>1439</v>
      </c>
    </row>
    <row r="86" spans="1:6">
      <c r="A86" s="2" t="s">
        <v>2125</v>
      </c>
      <c r="B86" s="2" t="s">
        <v>461</v>
      </c>
      <c r="C86" s="2" t="s">
        <v>2125</v>
      </c>
      <c r="D86" s="2" t="s">
        <v>1629</v>
      </c>
      <c r="E86" s="2" t="s">
        <v>490</v>
      </c>
      <c r="F86" s="2" t="s">
        <v>1439</v>
      </c>
    </row>
    <row r="87" spans="1:6">
      <c r="A87" s="2" t="s">
        <v>2126</v>
      </c>
      <c r="B87" s="2" t="s">
        <v>461</v>
      </c>
      <c r="C87" s="2" t="s">
        <v>2126</v>
      </c>
      <c r="D87" s="2" t="s">
        <v>1631</v>
      </c>
      <c r="E87" s="2" t="s">
        <v>496</v>
      </c>
      <c r="F87" s="3" t="s">
        <v>2024</v>
      </c>
    </row>
    <row r="88" spans="1:6">
      <c r="A88" s="2" t="s">
        <v>2127</v>
      </c>
      <c r="B88" s="2" t="s">
        <v>502</v>
      </c>
      <c r="C88" s="2" t="s">
        <v>2127</v>
      </c>
      <c r="D88" s="2" t="s">
        <v>1633</v>
      </c>
      <c r="E88" s="2" t="s">
        <v>500</v>
      </c>
      <c r="F88" s="2" t="s">
        <v>1439</v>
      </c>
    </row>
    <row r="89" spans="1:6">
      <c r="A89" s="2" t="s">
        <v>2128</v>
      </c>
      <c r="B89" s="2" t="s">
        <v>502</v>
      </c>
      <c r="C89" s="2" t="s">
        <v>2128</v>
      </c>
      <c r="D89" s="2" t="s">
        <v>1637</v>
      </c>
      <c r="E89" s="2" t="s">
        <v>512</v>
      </c>
      <c r="F89" s="3" t="s">
        <v>2024</v>
      </c>
    </row>
    <row r="90" spans="1:6">
      <c r="A90" s="2" t="s">
        <v>2129</v>
      </c>
      <c r="B90" s="2" t="s">
        <v>502</v>
      </c>
      <c r="C90" s="2" t="s">
        <v>2129</v>
      </c>
      <c r="D90" s="2" t="s">
        <v>1657</v>
      </c>
      <c r="E90" s="2" t="s">
        <v>566</v>
      </c>
      <c r="F90" s="2" t="s">
        <v>1439</v>
      </c>
    </row>
    <row r="91" spans="1:6">
      <c r="A91" s="2" t="s">
        <v>2130</v>
      </c>
      <c r="B91" s="2" t="s">
        <v>502</v>
      </c>
      <c r="C91" s="2" t="s">
        <v>2130</v>
      </c>
      <c r="D91" s="2" t="s">
        <v>1639</v>
      </c>
      <c r="E91" s="2" t="s">
        <v>520</v>
      </c>
      <c r="F91" s="3" t="s">
        <v>2024</v>
      </c>
    </row>
    <row r="92" spans="1:6">
      <c r="A92" s="2" t="s">
        <v>2131</v>
      </c>
      <c r="B92" s="2" t="s">
        <v>502</v>
      </c>
      <c r="C92" s="2" t="s">
        <v>2131</v>
      </c>
      <c r="D92" s="2" t="s">
        <v>1635</v>
      </c>
      <c r="E92" s="2" t="s">
        <v>507</v>
      </c>
      <c r="F92" s="2" t="s">
        <v>1439</v>
      </c>
    </row>
    <row r="93" spans="1:6">
      <c r="A93" s="2" t="s">
        <v>2132</v>
      </c>
      <c r="B93" s="2" t="s">
        <v>502</v>
      </c>
      <c r="C93" s="2" t="s">
        <v>2132</v>
      </c>
      <c r="D93" s="2" t="s">
        <v>1633</v>
      </c>
      <c r="E93" s="2" t="s">
        <v>500</v>
      </c>
      <c r="F93" s="2" t="s">
        <v>1439</v>
      </c>
    </row>
    <row r="94" spans="1:6">
      <c r="A94" s="2" t="s">
        <v>2133</v>
      </c>
      <c r="B94" s="2" t="s">
        <v>502</v>
      </c>
      <c r="C94" s="2" t="s">
        <v>2133</v>
      </c>
      <c r="D94" s="2" t="s">
        <v>1641</v>
      </c>
      <c r="E94" s="2" t="s">
        <v>525</v>
      </c>
      <c r="F94" s="2" t="s">
        <v>1439</v>
      </c>
    </row>
    <row r="95" spans="1:6">
      <c r="A95" s="2" t="s">
        <v>2134</v>
      </c>
      <c r="B95" s="2" t="s">
        <v>532</v>
      </c>
      <c r="C95" s="2" t="s">
        <v>2134</v>
      </c>
      <c r="D95" s="2" t="s">
        <v>1643</v>
      </c>
      <c r="E95" s="2" t="s">
        <v>530</v>
      </c>
      <c r="F95" s="2" t="s">
        <v>1439</v>
      </c>
    </row>
    <row r="96" spans="1:6">
      <c r="A96" s="2" t="s">
        <v>2135</v>
      </c>
      <c r="B96" s="2" t="s">
        <v>532</v>
      </c>
      <c r="C96" s="2" t="s">
        <v>2135</v>
      </c>
      <c r="D96" s="2" t="s">
        <v>1645</v>
      </c>
      <c r="E96" s="2" t="s">
        <v>536</v>
      </c>
      <c r="F96" s="2" t="s">
        <v>1439</v>
      </c>
    </row>
    <row r="97" spans="1:6">
      <c r="A97" s="2" t="s">
        <v>2136</v>
      </c>
      <c r="B97" s="2" t="s">
        <v>532</v>
      </c>
      <c r="C97" s="2" t="s">
        <v>2136</v>
      </c>
      <c r="D97" s="2" t="s">
        <v>1608</v>
      </c>
      <c r="E97" s="2" t="s">
        <v>430</v>
      </c>
      <c r="F97" s="2" t="s">
        <v>1439</v>
      </c>
    </row>
    <row r="98" spans="1:6">
      <c r="A98" s="2" t="s">
        <v>2137</v>
      </c>
      <c r="B98" s="2" t="s">
        <v>532</v>
      </c>
      <c r="C98" s="2" t="s">
        <v>2137</v>
      </c>
      <c r="D98" s="2" t="s">
        <v>1647</v>
      </c>
      <c r="E98" s="2" t="s">
        <v>540</v>
      </c>
      <c r="F98" s="2" t="s">
        <v>1439</v>
      </c>
    </row>
    <row r="99" spans="1:6">
      <c r="A99" s="2" t="s">
        <v>2138</v>
      </c>
      <c r="B99" s="2" t="s">
        <v>532</v>
      </c>
      <c r="C99" s="2" t="s">
        <v>2138</v>
      </c>
      <c r="D99" s="2" t="s">
        <v>1649</v>
      </c>
      <c r="E99" s="2" t="s">
        <v>545</v>
      </c>
      <c r="F99" s="3" t="s">
        <v>2024</v>
      </c>
    </row>
    <row r="100" spans="1:6">
      <c r="A100" s="2" t="s">
        <v>2139</v>
      </c>
      <c r="B100" s="2" t="s">
        <v>532</v>
      </c>
      <c r="C100" s="2" t="s">
        <v>2139</v>
      </c>
      <c r="D100" s="2" t="s">
        <v>1651</v>
      </c>
      <c r="E100" s="2" t="s">
        <v>550</v>
      </c>
      <c r="F100" s="2" t="s">
        <v>1439</v>
      </c>
    </row>
    <row r="101" spans="1:6">
      <c r="A101" s="2" t="s">
        <v>2140</v>
      </c>
      <c r="B101" s="2" t="s">
        <v>532</v>
      </c>
      <c r="C101" s="2" t="s">
        <v>2140</v>
      </c>
      <c r="D101" s="2" t="s">
        <v>1657</v>
      </c>
      <c r="E101" s="2" t="s">
        <v>566</v>
      </c>
      <c r="F101" s="2" t="s">
        <v>1439</v>
      </c>
    </row>
    <row r="102" spans="1:6">
      <c r="A102" s="2" t="s">
        <v>2141</v>
      </c>
      <c r="B102" s="2" t="s">
        <v>532</v>
      </c>
      <c r="C102" s="2" t="s">
        <v>2141</v>
      </c>
      <c r="D102" s="2" t="s">
        <v>1653</v>
      </c>
      <c r="E102" s="2" t="s">
        <v>555</v>
      </c>
      <c r="F102" s="2" t="s">
        <v>1439</v>
      </c>
    </row>
    <row r="103" spans="1:6">
      <c r="A103" s="2" t="s">
        <v>2142</v>
      </c>
      <c r="B103" s="2" t="s">
        <v>532</v>
      </c>
      <c r="C103" s="2" t="s">
        <v>2142</v>
      </c>
      <c r="D103" s="2" t="s">
        <v>1655</v>
      </c>
      <c r="E103" s="2" t="s">
        <v>561</v>
      </c>
      <c r="F103" s="2" t="s">
        <v>1439</v>
      </c>
    </row>
    <row r="104" spans="1:6">
      <c r="A104" s="2" t="s">
        <v>2143</v>
      </c>
      <c r="B104" s="2" t="s">
        <v>102</v>
      </c>
      <c r="C104" s="2" t="s">
        <v>2143</v>
      </c>
      <c r="D104" s="2" t="s">
        <v>1657</v>
      </c>
      <c r="E104" s="2" t="s">
        <v>566</v>
      </c>
      <c r="F104" s="2" t="s">
        <v>1439</v>
      </c>
    </row>
    <row r="105" spans="1:6">
      <c r="A105" s="2" t="s">
        <v>2144</v>
      </c>
      <c r="B105" s="2" t="s">
        <v>102</v>
      </c>
      <c r="C105" s="2" t="s">
        <v>2144</v>
      </c>
      <c r="D105" s="2" t="s">
        <v>1660</v>
      </c>
      <c r="E105" s="2" t="s">
        <v>575</v>
      </c>
      <c r="F105" s="2" t="s">
        <v>1439</v>
      </c>
    </row>
    <row r="106" spans="1:6">
      <c r="A106" s="2" t="s">
        <v>2145</v>
      </c>
      <c r="B106" s="2" t="s">
        <v>102</v>
      </c>
      <c r="C106" s="2" t="s">
        <v>2145</v>
      </c>
      <c r="D106" s="2" t="s">
        <v>1662</v>
      </c>
      <c r="E106" s="2" t="s">
        <v>579</v>
      </c>
      <c r="F106" s="2" t="s">
        <v>1439</v>
      </c>
    </row>
    <row r="107" spans="1:6">
      <c r="A107" s="2" t="s">
        <v>2146</v>
      </c>
      <c r="B107" s="2" t="s">
        <v>102</v>
      </c>
      <c r="C107" s="2" t="s">
        <v>2146</v>
      </c>
      <c r="D107" s="2" t="s">
        <v>1664</v>
      </c>
      <c r="E107" s="2" t="s">
        <v>584</v>
      </c>
      <c r="F107" s="3" t="s">
        <v>2024</v>
      </c>
    </row>
    <row r="108" spans="1:6">
      <c r="A108" s="2" t="s">
        <v>2147</v>
      </c>
      <c r="B108" s="2" t="s">
        <v>102</v>
      </c>
      <c r="C108" s="2" t="s">
        <v>2147</v>
      </c>
      <c r="D108" s="2" t="s">
        <v>1567</v>
      </c>
      <c r="E108" s="2" t="s">
        <v>295</v>
      </c>
      <c r="F108" s="2" t="s">
        <v>1439</v>
      </c>
    </row>
    <row r="109" spans="1:6">
      <c r="A109" s="2" t="s">
        <v>2148</v>
      </c>
      <c r="B109" s="2" t="s">
        <v>102</v>
      </c>
      <c r="C109" s="2" t="s">
        <v>2148</v>
      </c>
      <c r="D109" s="2" t="s">
        <v>1666</v>
      </c>
      <c r="E109" s="2" t="s">
        <v>590</v>
      </c>
      <c r="F109" s="3" t="s">
        <v>2024</v>
      </c>
    </row>
    <row r="110" spans="1:6">
      <c r="A110" s="2" t="s">
        <v>2149</v>
      </c>
      <c r="B110" s="2" t="s">
        <v>102</v>
      </c>
      <c r="C110" s="2" t="s">
        <v>2149</v>
      </c>
      <c r="D110" s="2" t="s">
        <v>1670</v>
      </c>
      <c r="E110" s="2" t="s">
        <v>600</v>
      </c>
      <c r="F110" s="2" t="s">
        <v>1439</v>
      </c>
    </row>
    <row r="111" spans="1:6">
      <c r="A111" s="2" t="s">
        <v>2150</v>
      </c>
      <c r="B111" s="2" t="s">
        <v>102</v>
      </c>
      <c r="C111" s="2" t="s">
        <v>2150</v>
      </c>
      <c r="D111" s="2" t="s">
        <v>1677</v>
      </c>
      <c r="E111" s="2" t="s">
        <v>616</v>
      </c>
      <c r="F111" s="2" t="s">
        <v>1439</v>
      </c>
    </row>
    <row r="112" spans="1:6">
      <c r="A112" s="2" t="s">
        <v>2151</v>
      </c>
      <c r="B112" s="2" t="s">
        <v>102</v>
      </c>
      <c r="C112" s="2" t="s">
        <v>2151</v>
      </c>
      <c r="D112" s="2" t="s">
        <v>1517</v>
      </c>
      <c r="E112" s="2" t="s">
        <v>101</v>
      </c>
      <c r="F112" s="2" t="s">
        <v>1439</v>
      </c>
    </row>
    <row r="113" spans="1:6">
      <c r="A113" s="2" t="s">
        <v>2152</v>
      </c>
      <c r="B113" s="2" t="s">
        <v>102</v>
      </c>
      <c r="C113" s="2" t="s">
        <v>2152</v>
      </c>
      <c r="D113" s="2" t="s">
        <v>1681</v>
      </c>
      <c r="E113" s="2" t="s">
        <v>625</v>
      </c>
      <c r="F113" s="3" t="s">
        <v>2024</v>
      </c>
    </row>
    <row r="114" spans="1:6">
      <c r="A114" s="2" t="s">
        <v>2153</v>
      </c>
      <c r="B114" s="2" t="s">
        <v>102</v>
      </c>
      <c r="C114" s="2" t="s">
        <v>2153</v>
      </c>
      <c r="D114" s="2" t="s">
        <v>1858</v>
      </c>
      <c r="E114" s="2" t="s">
        <v>1100</v>
      </c>
      <c r="F114" s="3" t="s">
        <v>2024</v>
      </c>
    </row>
    <row r="115" spans="1:6">
      <c r="A115" s="2" t="s">
        <v>2154</v>
      </c>
      <c r="B115" s="2" t="s">
        <v>102</v>
      </c>
      <c r="C115" s="2" t="s">
        <v>2154</v>
      </c>
      <c r="D115" s="2" t="s">
        <v>1861</v>
      </c>
      <c r="E115" s="2" t="s">
        <v>1106</v>
      </c>
      <c r="F115" s="2" t="s">
        <v>1439</v>
      </c>
    </row>
    <row r="116" spans="1:6">
      <c r="A116" s="2" t="s">
        <v>2155</v>
      </c>
      <c r="B116" s="2" t="s">
        <v>102</v>
      </c>
      <c r="C116" s="2" t="s">
        <v>2155</v>
      </c>
      <c r="D116" s="2" t="s">
        <v>1668</v>
      </c>
      <c r="E116" s="2" t="s">
        <v>596</v>
      </c>
      <c r="F116" s="3" t="s">
        <v>2024</v>
      </c>
    </row>
    <row r="117" spans="1:6">
      <c r="A117" s="2" t="s">
        <v>2156</v>
      </c>
      <c r="B117" s="2" t="s">
        <v>102</v>
      </c>
      <c r="C117" s="2" t="s">
        <v>2156</v>
      </c>
      <c r="D117" s="2" t="s">
        <v>1558</v>
      </c>
      <c r="E117" s="2" t="s">
        <v>240</v>
      </c>
      <c r="F117" s="3" t="s">
        <v>2024</v>
      </c>
    </row>
    <row r="118" spans="1:6">
      <c r="A118" s="2" t="s">
        <v>2157</v>
      </c>
      <c r="B118" s="2" t="s">
        <v>102</v>
      </c>
      <c r="C118" s="2" t="s">
        <v>2157</v>
      </c>
      <c r="D118" s="2" t="s">
        <v>35</v>
      </c>
      <c r="E118" s="2" t="s">
        <v>35</v>
      </c>
      <c r="F118" s="3" t="s">
        <v>1795</v>
      </c>
    </row>
    <row r="119" spans="1:6">
      <c r="A119" s="2" t="s">
        <v>2158</v>
      </c>
      <c r="B119" s="2" t="s">
        <v>102</v>
      </c>
      <c r="C119" s="2" t="s">
        <v>2158</v>
      </c>
      <c r="D119" s="2" t="s">
        <v>35</v>
      </c>
      <c r="E119" s="2" t="s">
        <v>35</v>
      </c>
      <c r="F119" s="3" t="s">
        <v>1795</v>
      </c>
    </row>
    <row r="120" spans="1:6">
      <c r="A120" s="2" t="s">
        <v>2159</v>
      </c>
      <c r="B120" s="2" t="s">
        <v>671</v>
      </c>
      <c r="C120" s="2" t="s">
        <v>2159</v>
      </c>
      <c r="D120" s="2" t="s">
        <v>1782</v>
      </c>
      <c r="E120" s="2" t="s">
        <v>899</v>
      </c>
      <c r="F120" s="2" t="s">
        <v>1439</v>
      </c>
    </row>
    <row r="121" spans="1:6">
      <c r="A121" s="2" t="s">
        <v>2160</v>
      </c>
      <c r="B121" s="2" t="s">
        <v>671</v>
      </c>
      <c r="C121" s="2" t="s">
        <v>2160</v>
      </c>
      <c r="D121" s="2" t="s">
        <v>1742</v>
      </c>
      <c r="E121" s="2" t="s">
        <v>922</v>
      </c>
      <c r="F121" s="2" t="s">
        <v>1439</v>
      </c>
    </row>
    <row r="122" spans="1:6">
      <c r="A122" s="2" t="s">
        <v>2161</v>
      </c>
      <c r="B122" s="2" t="s">
        <v>671</v>
      </c>
      <c r="C122" s="2" t="s">
        <v>2161</v>
      </c>
      <c r="D122" s="2" t="s">
        <v>2162</v>
      </c>
      <c r="E122" s="2" t="s">
        <v>2163</v>
      </c>
      <c r="F122" s="2" t="s">
        <v>1439</v>
      </c>
    </row>
    <row r="123" spans="1:6">
      <c r="A123" s="2" t="s">
        <v>2164</v>
      </c>
      <c r="B123" s="2" t="s">
        <v>671</v>
      </c>
      <c r="C123" s="2" t="s">
        <v>2164</v>
      </c>
      <c r="D123" s="2" t="s">
        <v>1740</v>
      </c>
      <c r="E123" s="2" t="s">
        <v>917</v>
      </c>
      <c r="F123" s="2" t="s">
        <v>1439</v>
      </c>
    </row>
    <row r="124" ht="28.8" spans="1:6">
      <c r="A124" s="2" t="s">
        <v>2165</v>
      </c>
      <c r="B124" s="2" t="s">
        <v>671</v>
      </c>
      <c r="C124" s="2" t="s">
        <v>2165</v>
      </c>
      <c r="D124" s="2" t="s">
        <v>2166</v>
      </c>
      <c r="E124" s="2" t="s">
        <v>2167</v>
      </c>
      <c r="F124" s="2" t="s">
        <v>1439</v>
      </c>
    </row>
    <row r="125" spans="1:6">
      <c r="A125" s="2" t="s">
        <v>2168</v>
      </c>
      <c r="B125" s="2" t="s">
        <v>671</v>
      </c>
      <c r="C125" s="2" t="s">
        <v>2168</v>
      </c>
      <c r="D125" s="2" t="s">
        <v>1704</v>
      </c>
      <c r="E125" s="2" t="s">
        <v>708</v>
      </c>
      <c r="F125" s="2" t="s">
        <v>1439</v>
      </c>
    </row>
    <row r="126" ht="28.8" spans="1:6">
      <c r="A126" s="2" t="s">
        <v>2169</v>
      </c>
      <c r="B126" s="2" t="s">
        <v>671</v>
      </c>
      <c r="C126" s="2" t="s">
        <v>2169</v>
      </c>
      <c r="D126" s="2" t="s">
        <v>2170</v>
      </c>
      <c r="E126" s="2" t="s">
        <v>2171</v>
      </c>
      <c r="F126" s="2" t="s">
        <v>1439</v>
      </c>
    </row>
    <row r="127" ht="28.8" spans="1:6">
      <c r="A127" s="2" t="s">
        <v>2172</v>
      </c>
      <c r="B127" s="2" t="s">
        <v>671</v>
      </c>
      <c r="C127" s="2" t="s">
        <v>2172</v>
      </c>
      <c r="D127" s="2" t="s">
        <v>2173</v>
      </c>
      <c r="E127" s="2" t="s">
        <v>2174</v>
      </c>
      <c r="F127" s="2" t="s">
        <v>1439</v>
      </c>
    </row>
    <row r="128" ht="28.8" spans="1:6">
      <c r="A128" s="2" t="s">
        <v>2175</v>
      </c>
      <c r="B128" s="2" t="s">
        <v>671</v>
      </c>
      <c r="C128" s="2" t="s">
        <v>2175</v>
      </c>
      <c r="D128" s="2" t="s">
        <v>2176</v>
      </c>
      <c r="E128" s="2" t="s">
        <v>2177</v>
      </c>
      <c r="F128" s="2" t="s">
        <v>1439</v>
      </c>
    </row>
    <row r="129" spans="1:6">
      <c r="A129" s="2" t="s">
        <v>2178</v>
      </c>
      <c r="B129" s="2" t="s">
        <v>671</v>
      </c>
      <c r="C129" s="2" t="s">
        <v>2178</v>
      </c>
      <c r="D129" s="2" t="s">
        <v>1728</v>
      </c>
      <c r="E129" s="2" t="s">
        <v>731</v>
      </c>
      <c r="F129" s="2" t="s">
        <v>1439</v>
      </c>
    </row>
    <row r="130" spans="1:6">
      <c r="A130" s="2" t="s">
        <v>2179</v>
      </c>
      <c r="B130" s="2" t="s">
        <v>671</v>
      </c>
      <c r="C130" s="2" t="s">
        <v>2179</v>
      </c>
      <c r="D130" s="2" t="s">
        <v>2180</v>
      </c>
      <c r="E130" s="2" t="s">
        <v>2181</v>
      </c>
      <c r="F130" s="2" t="s">
        <v>1439</v>
      </c>
    </row>
    <row r="131" spans="1:6">
      <c r="A131" s="2" t="s">
        <v>2182</v>
      </c>
      <c r="B131" s="2" t="s">
        <v>671</v>
      </c>
      <c r="C131" s="2" t="s">
        <v>2182</v>
      </c>
      <c r="D131" s="2" t="s">
        <v>1734</v>
      </c>
      <c r="E131" s="2" t="s">
        <v>714</v>
      </c>
      <c r="F131" s="2" t="s">
        <v>1439</v>
      </c>
    </row>
    <row r="132" spans="1:6">
      <c r="A132" s="2" t="s">
        <v>2183</v>
      </c>
      <c r="B132" s="2" t="s">
        <v>671</v>
      </c>
      <c r="C132" s="2" t="s">
        <v>2183</v>
      </c>
      <c r="D132" s="2" t="s">
        <v>1736</v>
      </c>
      <c r="E132" s="2" t="s">
        <v>725</v>
      </c>
      <c r="F132" s="2" t="s">
        <v>1439</v>
      </c>
    </row>
    <row r="133" spans="1:6">
      <c r="A133" s="2" t="s">
        <v>2184</v>
      </c>
      <c r="B133" s="2" t="s">
        <v>671</v>
      </c>
      <c r="C133" s="2" t="s">
        <v>2184</v>
      </c>
      <c r="D133" s="2" t="s">
        <v>35</v>
      </c>
      <c r="E133" s="2" t="s">
        <v>35</v>
      </c>
      <c r="F133" s="2" t="s">
        <v>1472</v>
      </c>
    </row>
    <row r="134" spans="1:6">
      <c r="A134" s="2" t="s">
        <v>2185</v>
      </c>
      <c r="B134" s="2" t="s">
        <v>671</v>
      </c>
      <c r="C134" s="2" t="s">
        <v>2185</v>
      </c>
      <c r="D134" s="2" t="s">
        <v>1693</v>
      </c>
      <c r="E134" s="2" t="s">
        <v>1695</v>
      </c>
      <c r="F134" s="2" t="s">
        <v>1439</v>
      </c>
    </row>
    <row r="135" spans="1:6">
      <c r="A135" s="2" t="s">
        <v>2186</v>
      </c>
      <c r="B135" s="2" t="s">
        <v>671</v>
      </c>
      <c r="C135" s="2" t="s">
        <v>2186</v>
      </c>
      <c r="D135" s="2" t="s">
        <v>2187</v>
      </c>
      <c r="E135" s="2" t="s">
        <v>2188</v>
      </c>
      <c r="F135" s="3" t="s">
        <v>2024</v>
      </c>
    </row>
    <row r="136" spans="1:6">
      <c r="A136" s="2" t="s">
        <v>2189</v>
      </c>
      <c r="B136" s="2" t="s">
        <v>671</v>
      </c>
      <c r="C136" s="2" t="s">
        <v>2189</v>
      </c>
      <c r="D136" s="2" t="s">
        <v>1698</v>
      </c>
      <c r="E136" s="2" t="s">
        <v>682</v>
      </c>
      <c r="F136" s="2" t="s">
        <v>1439</v>
      </c>
    </row>
    <row r="137" spans="1:6">
      <c r="A137" s="2" t="s">
        <v>2190</v>
      </c>
      <c r="B137" s="2" t="s">
        <v>671</v>
      </c>
      <c r="C137" s="2" t="s">
        <v>2190</v>
      </c>
      <c r="D137" s="2" t="s">
        <v>1702</v>
      </c>
      <c r="E137" s="2" t="s">
        <v>695</v>
      </c>
      <c r="F137" s="3" t="s">
        <v>2024</v>
      </c>
    </row>
    <row r="138" spans="1:6">
      <c r="A138" s="2" t="s">
        <v>2191</v>
      </c>
      <c r="B138" s="2" t="s">
        <v>671</v>
      </c>
      <c r="C138" s="2" t="s">
        <v>2191</v>
      </c>
      <c r="D138" s="2" t="s">
        <v>1696</v>
      </c>
      <c r="E138" s="2" t="s">
        <v>677</v>
      </c>
      <c r="F138" s="2" t="s">
        <v>1439</v>
      </c>
    </row>
    <row r="139" spans="1:6">
      <c r="A139" s="2" t="s">
        <v>2192</v>
      </c>
      <c r="B139" s="2" t="s">
        <v>671</v>
      </c>
      <c r="C139" s="2" t="s">
        <v>2192</v>
      </c>
      <c r="D139" s="2" t="s">
        <v>1744</v>
      </c>
      <c r="E139" s="2" t="s">
        <v>838</v>
      </c>
      <c r="F139" s="2" t="s">
        <v>1439</v>
      </c>
    </row>
    <row r="140" spans="1:6">
      <c r="A140" s="2" t="s">
        <v>2193</v>
      </c>
      <c r="B140" s="2" t="s">
        <v>671</v>
      </c>
      <c r="C140" s="2" t="s">
        <v>2193</v>
      </c>
      <c r="D140" s="2" t="s">
        <v>2194</v>
      </c>
      <c r="E140" s="2" t="s">
        <v>2195</v>
      </c>
      <c r="F140" s="2" t="s">
        <v>1439</v>
      </c>
    </row>
    <row r="141" spans="1:6">
      <c r="A141" s="2" t="s">
        <v>2196</v>
      </c>
      <c r="B141" s="2" t="s">
        <v>671</v>
      </c>
      <c r="C141" s="2" t="s">
        <v>2196</v>
      </c>
      <c r="D141" s="2" t="s">
        <v>1748</v>
      </c>
      <c r="E141" s="2" t="s">
        <v>823</v>
      </c>
      <c r="F141" s="3" t="s">
        <v>2024</v>
      </c>
    </row>
    <row r="142" spans="1:6">
      <c r="A142" s="2" t="s">
        <v>2197</v>
      </c>
      <c r="B142" s="2" t="s">
        <v>671</v>
      </c>
      <c r="C142" s="2" t="s">
        <v>2197</v>
      </c>
      <c r="D142" s="2" t="s">
        <v>2198</v>
      </c>
      <c r="E142" s="2" t="s">
        <v>2199</v>
      </c>
      <c r="F142" s="2" t="s">
        <v>1439</v>
      </c>
    </row>
    <row r="143" spans="1:6">
      <c r="A143" s="2" t="s">
        <v>2200</v>
      </c>
      <c r="B143" s="2" t="s">
        <v>671</v>
      </c>
      <c r="C143" s="2" t="s">
        <v>2200</v>
      </c>
      <c r="D143" s="2" t="s">
        <v>2201</v>
      </c>
      <c r="E143" s="2" t="s">
        <v>2202</v>
      </c>
      <c r="F143" s="2" t="s">
        <v>1439</v>
      </c>
    </row>
    <row r="144" spans="1:6">
      <c r="A144" s="2" t="s">
        <v>2203</v>
      </c>
      <c r="B144" s="2" t="s">
        <v>671</v>
      </c>
      <c r="C144" s="2" t="s">
        <v>2203</v>
      </c>
      <c r="D144" s="2" t="s">
        <v>2204</v>
      </c>
      <c r="E144" s="2" t="s">
        <v>2205</v>
      </c>
      <c r="F144" s="2" t="s">
        <v>1439</v>
      </c>
    </row>
    <row r="145" spans="1:6">
      <c r="A145" s="2" t="s">
        <v>2206</v>
      </c>
      <c r="B145" s="2" t="s">
        <v>671</v>
      </c>
      <c r="C145" s="2" t="s">
        <v>2206</v>
      </c>
      <c r="D145" s="2" t="s">
        <v>2207</v>
      </c>
      <c r="E145" s="2" t="s">
        <v>2208</v>
      </c>
      <c r="F145" s="2" t="s">
        <v>1439</v>
      </c>
    </row>
    <row r="146" spans="1:6">
      <c r="A146" s="2" t="s">
        <v>2209</v>
      </c>
      <c r="B146" s="2" t="s">
        <v>671</v>
      </c>
      <c r="C146" s="2" t="s">
        <v>2209</v>
      </c>
      <c r="D146" s="2" t="s">
        <v>1762</v>
      </c>
      <c r="E146" s="2" t="s">
        <v>871</v>
      </c>
      <c r="F146" s="2" t="s">
        <v>1439</v>
      </c>
    </row>
    <row r="147" spans="1:6">
      <c r="A147" s="2" t="s">
        <v>2210</v>
      </c>
      <c r="B147" s="2" t="s">
        <v>671</v>
      </c>
      <c r="C147" s="2" t="s">
        <v>2210</v>
      </c>
      <c r="D147" s="2" t="s">
        <v>2211</v>
      </c>
      <c r="E147" s="2" t="s">
        <v>2212</v>
      </c>
      <c r="F147" s="2" t="s">
        <v>1439</v>
      </c>
    </row>
    <row r="148" spans="1:6">
      <c r="A148" s="2" t="s">
        <v>2213</v>
      </c>
      <c r="B148" s="2" t="s">
        <v>671</v>
      </c>
      <c r="C148" s="2" t="s">
        <v>2213</v>
      </c>
      <c r="D148" s="2" t="s">
        <v>2211</v>
      </c>
      <c r="E148" s="2" t="s">
        <v>2212</v>
      </c>
      <c r="F148" s="2" t="s">
        <v>1439</v>
      </c>
    </row>
    <row r="149" spans="1:6">
      <c r="A149" s="2" t="s">
        <v>2214</v>
      </c>
      <c r="B149" s="2" t="s">
        <v>671</v>
      </c>
      <c r="C149" s="2" t="s">
        <v>2214</v>
      </c>
      <c r="D149" s="2" t="s">
        <v>2215</v>
      </c>
      <c r="E149" s="2" t="s">
        <v>2216</v>
      </c>
      <c r="F149" s="3" t="s">
        <v>2024</v>
      </c>
    </row>
    <row r="150" ht="28.8" spans="1:6">
      <c r="A150" s="2" t="s">
        <v>2217</v>
      </c>
      <c r="B150" s="2" t="s">
        <v>671</v>
      </c>
      <c r="C150" s="2" t="s">
        <v>2217</v>
      </c>
      <c r="D150" s="2" t="s">
        <v>2218</v>
      </c>
      <c r="E150" s="2" t="s">
        <v>2219</v>
      </c>
      <c r="F150" s="3" t="s">
        <v>2024</v>
      </c>
    </row>
    <row r="151" ht="28.8" spans="1:6">
      <c r="A151" s="2" t="s">
        <v>2220</v>
      </c>
      <c r="B151" s="2" t="s">
        <v>671</v>
      </c>
      <c r="C151" s="2" t="s">
        <v>2220</v>
      </c>
      <c r="D151" s="2" t="s">
        <v>2221</v>
      </c>
      <c r="E151" s="2" t="s">
        <v>2222</v>
      </c>
      <c r="F151" s="2" t="s">
        <v>1439</v>
      </c>
    </row>
    <row r="152" spans="1:6">
      <c r="A152" s="2" t="s">
        <v>2223</v>
      </c>
      <c r="B152" s="2" t="s">
        <v>671</v>
      </c>
      <c r="C152" s="2" t="s">
        <v>2223</v>
      </c>
      <c r="D152" s="2" t="s">
        <v>1778</v>
      </c>
      <c r="E152" s="2" t="s">
        <v>887</v>
      </c>
      <c r="F152" s="2" t="s">
        <v>1439</v>
      </c>
    </row>
    <row r="153" spans="1:6">
      <c r="A153" s="2" t="s">
        <v>2224</v>
      </c>
      <c r="B153" s="2" t="s">
        <v>671</v>
      </c>
      <c r="C153" s="2" t="s">
        <v>2224</v>
      </c>
      <c r="D153" s="2" t="s">
        <v>1780</v>
      </c>
      <c r="E153" s="2" t="s">
        <v>893</v>
      </c>
      <c r="F153" s="2" t="s">
        <v>1439</v>
      </c>
    </row>
    <row r="154" spans="1:6">
      <c r="A154" s="2" t="s">
        <v>2225</v>
      </c>
      <c r="B154" s="2" t="s">
        <v>671</v>
      </c>
      <c r="C154" s="2" t="s">
        <v>2225</v>
      </c>
      <c r="D154" s="2" t="s">
        <v>1782</v>
      </c>
      <c r="E154" s="2" t="s">
        <v>899</v>
      </c>
      <c r="F154" s="2" t="s">
        <v>1439</v>
      </c>
    </row>
    <row r="155" spans="1:6">
      <c r="A155" s="2" t="s">
        <v>2226</v>
      </c>
      <c r="B155" s="2" t="s">
        <v>671</v>
      </c>
      <c r="C155" s="2" t="s">
        <v>2226</v>
      </c>
      <c r="D155" s="2" t="s">
        <v>1784</v>
      </c>
      <c r="E155" s="2" t="s">
        <v>903</v>
      </c>
      <c r="F155" s="2" t="s">
        <v>1439</v>
      </c>
    </row>
    <row r="156" spans="1:6">
      <c r="A156" s="2" t="s">
        <v>2227</v>
      </c>
      <c r="B156" s="2" t="s">
        <v>671</v>
      </c>
      <c r="C156" s="2" t="s">
        <v>2227</v>
      </c>
      <c r="D156" s="2" t="s">
        <v>1786</v>
      </c>
      <c r="E156" s="2" t="s">
        <v>908</v>
      </c>
      <c r="F156" s="2" t="s">
        <v>1439</v>
      </c>
    </row>
    <row r="157" spans="1:6">
      <c r="A157" s="2" t="s">
        <v>2228</v>
      </c>
      <c r="B157" s="2" t="s">
        <v>671</v>
      </c>
      <c r="C157" s="2" t="s">
        <v>2228</v>
      </c>
      <c r="D157" s="2" t="s">
        <v>35</v>
      </c>
      <c r="E157" s="2" t="s">
        <v>35</v>
      </c>
      <c r="F157" s="3" t="s">
        <v>1795</v>
      </c>
    </row>
    <row r="158" spans="1:6">
      <c r="A158" s="2" t="s">
        <v>2229</v>
      </c>
      <c r="B158" s="2" t="s">
        <v>671</v>
      </c>
      <c r="C158" s="2" t="s">
        <v>2229</v>
      </c>
      <c r="D158" s="2" t="s">
        <v>1788</v>
      </c>
      <c r="E158" s="2" t="s">
        <v>913</v>
      </c>
      <c r="F158" s="2" t="s">
        <v>1439</v>
      </c>
    </row>
    <row r="159" spans="1:6">
      <c r="A159" s="2" t="s">
        <v>2230</v>
      </c>
      <c r="B159" s="2" t="s">
        <v>671</v>
      </c>
      <c r="C159" s="2" t="s">
        <v>2230</v>
      </c>
      <c r="D159" s="2" t="s">
        <v>1738</v>
      </c>
      <c r="E159" s="2" t="s">
        <v>735</v>
      </c>
      <c r="F159" s="2" t="s">
        <v>1439</v>
      </c>
    </row>
    <row r="160" spans="1:6">
      <c r="A160" s="2" t="s">
        <v>2231</v>
      </c>
      <c r="B160" s="2" t="s">
        <v>671</v>
      </c>
      <c r="C160" s="2" t="s">
        <v>2231</v>
      </c>
      <c r="D160" s="2" t="s">
        <v>1790</v>
      </c>
      <c r="E160" s="2" t="s">
        <v>928</v>
      </c>
      <c r="F160" s="2" t="s">
        <v>1439</v>
      </c>
    </row>
    <row r="161" spans="1:6">
      <c r="A161" s="2" t="s">
        <v>2232</v>
      </c>
      <c r="B161" s="2" t="s">
        <v>671</v>
      </c>
      <c r="C161" s="2" t="s">
        <v>2232</v>
      </c>
      <c r="D161" s="2" t="s">
        <v>1967</v>
      </c>
      <c r="E161" s="2" t="s">
        <v>1418</v>
      </c>
      <c r="F161" s="2" t="s">
        <v>1439</v>
      </c>
    </row>
    <row r="162" spans="1:6">
      <c r="A162" s="2" t="s">
        <v>2233</v>
      </c>
      <c r="B162" s="2" t="s">
        <v>950</v>
      </c>
      <c r="C162" s="2" t="s">
        <v>2233</v>
      </c>
      <c r="D162" s="2" t="s">
        <v>1804</v>
      </c>
      <c r="E162" s="2" t="s">
        <v>969</v>
      </c>
      <c r="F162" s="2" t="s">
        <v>1439</v>
      </c>
    </row>
    <row r="163" spans="1:6">
      <c r="A163" s="2" t="s">
        <v>2234</v>
      </c>
      <c r="B163" s="2" t="s">
        <v>950</v>
      </c>
      <c r="C163" s="2" t="s">
        <v>2234</v>
      </c>
      <c r="D163" s="2" t="s">
        <v>1802</v>
      </c>
      <c r="E163" s="2" t="s">
        <v>962</v>
      </c>
      <c r="F163" s="3" t="s">
        <v>2024</v>
      </c>
    </row>
    <row r="164" spans="1:6">
      <c r="A164" s="2" t="s">
        <v>2235</v>
      </c>
      <c r="B164" s="2" t="s">
        <v>950</v>
      </c>
      <c r="C164" s="2" t="s">
        <v>2235</v>
      </c>
      <c r="D164" s="2" t="s">
        <v>1812</v>
      </c>
      <c r="E164" s="2" t="s">
        <v>985</v>
      </c>
      <c r="F164" s="2" t="s">
        <v>1439</v>
      </c>
    </row>
    <row r="165" spans="1:6">
      <c r="A165" s="2" t="s">
        <v>2236</v>
      </c>
      <c r="B165" s="2" t="s">
        <v>950</v>
      </c>
      <c r="C165" s="2" t="s">
        <v>2236</v>
      </c>
      <c r="D165" s="2" t="s">
        <v>2237</v>
      </c>
      <c r="E165" s="2" t="s">
        <v>2238</v>
      </c>
      <c r="F165" s="2" t="s">
        <v>1439</v>
      </c>
    </row>
    <row r="166" spans="1:6">
      <c r="A166" s="2" t="s">
        <v>2239</v>
      </c>
      <c r="B166" s="2" t="s">
        <v>950</v>
      </c>
      <c r="C166" s="2" t="s">
        <v>2239</v>
      </c>
      <c r="D166" s="2" t="s">
        <v>1806</v>
      </c>
      <c r="E166" s="2" t="s">
        <v>975</v>
      </c>
      <c r="F166" s="2" t="s">
        <v>1439</v>
      </c>
    </row>
    <row r="167" ht="28.8" spans="1:6">
      <c r="A167" s="2" t="s">
        <v>2240</v>
      </c>
      <c r="B167" s="2" t="s">
        <v>950</v>
      </c>
      <c r="C167" s="2" t="s">
        <v>2240</v>
      </c>
      <c r="D167" s="2" t="s">
        <v>2241</v>
      </c>
      <c r="E167" s="2" t="s">
        <v>2242</v>
      </c>
      <c r="F167" s="2" t="s">
        <v>1439</v>
      </c>
    </row>
    <row r="168" spans="1:6">
      <c r="A168" s="2" t="s">
        <v>2243</v>
      </c>
      <c r="B168" s="2" t="s">
        <v>950</v>
      </c>
      <c r="C168" s="2" t="s">
        <v>2243</v>
      </c>
      <c r="D168" s="2" t="s">
        <v>1814</v>
      </c>
      <c r="E168" s="2" t="s">
        <v>989</v>
      </c>
      <c r="F168" s="2" t="s">
        <v>1439</v>
      </c>
    </row>
    <row r="169" ht="28.8" spans="1:6">
      <c r="A169" s="2" t="s">
        <v>2244</v>
      </c>
      <c r="B169" s="2" t="s">
        <v>950</v>
      </c>
      <c r="C169" s="2" t="s">
        <v>2244</v>
      </c>
      <c r="D169" s="2" t="s">
        <v>2245</v>
      </c>
      <c r="E169" s="2" t="s">
        <v>2246</v>
      </c>
      <c r="F169" s="2" t="s">
        <v>1439</v>
      </c>
    </row>
    <row r="170" spans="1:6">
      <c r="A170" s="2" t="s">
        <v>2247</v>
      </c>
      <c r="B170" s="2" t="s">
        <v>950</v>
      </c>
      <c r="C170" s="2" t="s">
        <v>2247</v>
      </c>
      <c r="D170" s="2" t="s">
        <v>1818</v>
      </c>
      <c r="E170" s="2" t="s">
        <v>999</v>
      </c>
      <c r="F170" s="2" t="s">
        <v>1439</v>
      </c>
    </row>
    <row r="171" spans="1:6">
      <c r="A171" s="2" t="s">
        <v>2248</v>
      </c>
      <c r="B171" s="2" t="s">
        <v>950</v>
      </c>
      <c r="C171" s="2" t="s">
        <v>2248</v>
      </c>
      <c r="D171" s="2" t="s">
        <v>1820</v>
      </c>
      <c r="E171" s="2" t="s">
        <v>1005</v>
      </c>
      <c r="F171" s="2" t="s">
        <v>1439</v>
      </c>
    </row>
    <row r="172" ht="28.8" spans="1:6">
      <c r="A172" s="2" t="s">
        <v>2249</v>
      </c>
      <c r="B172" s="2" t="s">
        <v>950</v>
      </c>
      <c r="C172" s="2" t="s">
        <v>2249</v>
      </c>
      <c r="D172" s="2" t="s">
        <v>2250</v>
      </c>
      <c r="E172" s="2" t="s">
        <v>2251</v>
      </c>
      <c r="F172" s="2" t="s">
        <v>1439</v>
      </c>
    </row>
    <row r="173" spans="1:6">
      <c r="A173" s="2" t="s">
        <v>2252</v>
      </c>
      <c r="B173" s="2" t="s">
        <v>950</v>
      </c>
      <c r="C173" s="2" t="s">
        <v>2252</v>
      </c>
      <c r="D173" s="2" t="s">
        <v>2253</v>
      </c>
      <c r="E173" s="2" t="s">
        <v>2254</v>
      </c>
      <c r="F173" s="2" t="s">
        <v>1439</v>
      </c>
    </row>
    <row r="174" spans="1:6">
      <c r="A174" s="2" t="s">
        <v>2255</v>
      </c>
      <c r="B174" s="2" t="s">
        <v>950</v>
      </c>
      <c r="C174" s="2" t="s">
        <v>2255</v>
      </c>
      <c r="D174" s="2" t="s">
        <v>1834</v>
      </c>
      <c r="E174" s="2" t="s">
        <v>1042</v>
      </c>
      <c r="F174" s="3" t="s">
        <v>2024</v>
      </c>
    </row>
    <row r="175" ht="28.8" spans="1:6">
      <c r="A175" s="2" t="s">
        <v>2256</v>
      </c>
      <c r="B175" s="2" t="s">
        <v>950</v>
      </c>
      <c r="C175" s="2" t="s">
        <v>2256</v>
      </c>
      <c r="D175" s="2" t="s">
        <v>2257</v>
      </c>
      <c r="E175" s="2" t="s">
        <v>2258</v>
      </c>
      <c r="F175" s="2" t="s">
        <v>1439</v>
      </c>
    </row>
    <row r="176" ht="28.8" spans="1:6">
      <c r="A176" s="2" t="s">
        <v>2259</v>
      </c>
      <c r="B176" s="2" t="s">
        <v>950</v>
      </c>
      <c r="C176" s="2" t="s">
        <v>2259</v>
      </c>
      <c r="D176" s="2" t="s">
        <v>2260</v>
      </c>
      <c r="E176" s="2" t="s">
        <v>2261</v>
      </c>
      <c r="F176" s="2" t="s">
        <v>1439</v>
      </c>
    </row>
    <row r="177" spans="1:6">
      <c r="A177" s="2" t="s">
        <v>2262</v>
      </c>
      <c r="B177" s="2" t="s">
        <v>950</v>
      </c>
      <c r="C177" s="2" t="s">
        <v>2262</v>
      </c>
      <c r="D177" s="2" t="s">
        <v>2263</v>
      </c>
      <c r="E177" s="2" t="s">
        <v>2264</v>
      </c>
      <c r="F177" s="2" t="s">
        <v>1439</v>
      </c>
    </row>
    <row r="178" spans="1:6">
      <c r="A178" s="2" t="s">
        <v>2265</v>
      </c>
      <c r="B178" s="2" t="s">
        <v>950</v>
      </c>
      <c r="C178" s="2" t="s">
        <v>2265</v>
      </c>
      <c r="D178" s="2" t="s">
        <v>2266</v>
      </c>
      <c r="E178" s="2" t="s">
        <v>2267</v>
      </c>
      <c r="F178" s="2" t="s">
        <v>1439</v>
      </c>
    </row>
    <row r="179" spans="1:6">
      <c r="A179" s="2" t="s">
        <v>2268</v>
      </c>
      <c r="B179" s="2" t="s">
        <v>950</v>
      </c>
      <c r="C179" s="2" t="s">
        <v>2268</v>
      </c>
      <c r="D179" s="2" t="s">
        <v>1867</v>
      </c>
      <c r="E179" s="2" t="s">
        <v>1121</v>
      </c>
      <c r="F179" s="2" t="s">
        <v>1439</v>
      </c>
    </row>
    <row r="180" spans="1:6">
      <c r="A180" s="2" t="s">
        <v>2269</v>
      </c>
      <c r="B180" s="2" t="s">
        <v>950</v>
      </c>
      <c r="C180" s="2" t="s">
        <v>2269</v>
      </c>
      <c r="D180" s="2" t="s">
        <v>1846</v>
      </c>
      <c r="E180" s="2" t="s">
        <v>1068</v>
      </c>
      <c r="F180" s="2" t="s">
        <v>1439</v>
      </c>
    </row>
    <row r="181" spans="1:6">
      <c r="A181" s="2" t="s">
        <v>2270</v>
      </c>
      <c r="B181" s="2" t="s">
        <v>950</v>
      </c>
      <c r="C181" s="2" t="s">
        <v>2270</v>
      </c>
      <c r="D181" s="2" t="s">
        <v>1848</v>
      </c>
      <c r="E181" s="2" t="s">
        <v>1074</v>
      </c>
      <c r="F181" s="2" t="s">
        <v>1439</v>
      </c>
    </row>
    <row r="182" spans="1:6">
      <c r="A182" s="2" t="s">
        <v>2271</v>
      </c>
      <c r="B182" s="2" t="s">
        <v>950</v>
      </c>
      <c r="C182" s="2" t="s">
        <v>2271</v>
      </c>
      <c r="D182" s="2" t="s">
        <v>1858</v>
      </c>
      <c r="E182" s="2" t="s">
        <v>1100</v>
      </c>
      <c r="F182" s="3" t="s">
        <v>2024</v>
      </c>
    </row>
    <row r="183" spans="1:6">
      <c r="A183" s="2" t="s">
        <v>2272</v>
      </c>
      <c r="B183" s="2" t="s">
        <v>950</v>
      </c>
      <c r="C183" s="2" t="s">
        <v>2272</v>
      </c>
      <c r="D183" s="2" t="s">
        <v>1863</v>
      </c>
      <c r="E183" s="2" t="s">
        <v>1110</v>
      </c>
      <c r="F183" s="3" t="s">
        <v>2024</v>
      </c>
    </row>
    <row r="184" spans="1:6">
      <c r="A184" s="2" t="s">
        <v>2273</v>
      </c>
      <c r="B184" s="2" t="s">
        <v>950</v>
      </c>
      <c r="C184" s="2" t="s">
        <v>2273</v>
      </c>
      <c r="D184" s="2" t="s">
        <v>1995</v>
      </c>
      <c r="E184" s="2" t="s">
        <v>1010</v>
      </c>
      <c r="F184" s="2" t="s">
        <v>1439</v>
      </c>
    </row>
    <row r="185" spans="1:6">
      <c r="A185" s="2" t="s">
        <v>2274</v>
      </c>
      <c r="B185" s="2" t="s">
        <v>950</v>
      </c>
      <c r="C185" s="2" t="s">
        <v>2274</v>
      </c>
      <c r="D185" s="2" t="s">
        <v>2000</v>
      </c>
      <c r="E185" s="2" t="s">
        <v>1131</v>
      </c>
      <c r="F185" s="3" t="s">
        <v>2024</v>
      </c>
    </row>
    <row r="186" spans="1:6">
      <c r="A186" s="2" t="s">
        <v>2275</v>
      </c>
      <c r="B186" s="2" t="s">
        <v>950</v>
      </c>
      <c r="C186" s="2" t="s">
        <v>2275</v>
      </c>
      <c r="D186" s="2" t="s">
        <v>2002</v>
      </c>
      <c r="E186" s="2" t="s">
        <v>1136</v>
      </c>
      <c r="F186" s="2" t="s">
        <v>1439</v>
      </c>
    </row>
    <row r="187" spans="1:6">
      <c r="A187" s="2" t="s">
        <v>2276</v>
      </c>
      <c r="B187" s="2" t="s">
        <v>1144</v>
      </c>
      <c r="C187" s="2" t="s">
        <v>2276</v>
      </c>
      <c r="D187" s="2" t="s">
        <v>1871</v>
      </c>
      <c r="E187" s="2" t="s">
        <v>1142</v>
      </c>
      <c r="F187" s="3" t="s">
        <v>2024</v>
      </c>
    </row>
    <row r="188" spans="1:6">
      <c r="A188" s="2" t="s">
        <v>2277</v>
      </c>
      <c r="B188" s="2" t="s">
        <v>1153</v>
      </c>
      <c r="C188" s="2" t="s">
        <v>2277</v>
      </c>
      <c r="D188" s="2" t="s">
        <v>1873</v>
      </c>
      <c r="E188" s="2" t="s">
        <v>1152</v>
      </c>
      <c r="F188" s="3" t="s">
        <v>2024</v>
      </c>
    </row>
    <row r="189" spans="1:6">
      <c r="A189" s="2" t="s">
        <v>2278</v>
      </c>
      <c r="B189" s="2" t="s">
        <v>1153</v>
      </c>
      <c r="C189" s="2" t="s">
        <v>2278</v>
      </c>
      <c r="D189" s="2" t="s">
        <v>2279</v>
      </c>
      <c r="E189" s="2" t="s">
        <v>2280</v>
      </c>
      <c r="F189" s="3" t="s">
        <v>2024</v>
      </c>
    </row>
    <row r="190" spans="1:6">
      <c r="A190" s="2" t="s">
        <v>2281</v>
      </c>
      <c r="B190" s="2" t="s">
        <v>1153</v>
      </c>
      <c r="C190" s="2" t="s">
        <v>2281</v>
      </c>
      <c r="D190" s="2" t="s">
        <v>2282</v>
      </c>
      <c r="E190" s="2" t="s">
        <v>2283</v>
      </c>
      <c r="F190" s="3" t="s">
        <v>2024</v>
      </c>
    </row>
    <row r="191" spans="1:6">
      <c r="A191" s="2" t="s">
        <v>2284</v>
      </c>
      <c r="B191" s="2" t="s">
        <v>1153</v>
      </c>
      <c r="C191" s="2" t="s">
        <v>2284</v>
      </c>
      <c r="D191" s="2" t="s">
        <v>1881</v>
      </c>
      <c r="E191" s="2" t="s">
        <v>1181</v>
      </c>
      <c r="F191" s="3" t="s">
        <v>2024</v>
      </c>
    </row>
    <row r="192" spans="1:6">
      <c r="A192" s="2" t="s">
        <v>2285</v>
      </c>
      <c r="B192" s="2" t="s">
        <v>1153</v>
      </c>
      <c r="C192" s="2" t="s">
        <v>2285</v>
      </c>
      <c r="D192" s="2" t="s">
        <v>1883</v>
      </c>
      <c r="E192" s="2" t="s">
        <v>1187</v>
      </c>
      <c r="F192" s="3" t="s">
        <v>2024</v>
      </c>
    </row>
    <row r="193" spans="1:6">
      <c r="A193" s="2" t="s">
        <v>2286</v>
      </c>
      <c r="B193" s="2" t="s">
        <v>1153</v>
      </c>
      <c r="C193" s="2" t="s">
        <v>2286</v>
      </c>
      <c r="D193" s="2" t="s">
        <v>1885</v>
      </c>
      <c r="E193" s="2" t="s">
        <v>1193</v>
      </c>
      <c r="F193" s="3" t="s">
        <v>2024</v>
      </c>
    </row>
    <row r="194" spans="1:6">
      <c r="A194" s="2" t="s">
        <v>2287</v>
      </c>
      <c r="B194" s="2" t="s">
        <v>1153</v>
      </c>
      <c r="C194" s="2" t="s">
        <v>2287</v>
      </c>
      <c r="D194" s="2" t="s">
        <v>1887</v>
      </c>
      <c r="E194" s="2" t="s">
        <v>1200</v>
      </c>
      <c r="F194" s="3" t="s">
        <v>2024</v>
      </c>
    </row>
    <row r="195" spans="1:6">
      <c r="A195" s="2" t="s">
        <v>2288</v>
      </c>
      <c r="B195" s="2" t="s">
        <v>1208</v>
      </c>
      <c r="C195" s="2" t="s">
        <v>2288</v>
      </c>
      <c r="D195" s="2" t="s">
        <v>2289</v>
      </c>
      <c r="E195" s="2" t="s">
        <v>2290</v>
      </c>
      <c r="F195" s="3" t="s">
        <v>2024</v>
      </c>
    </row>
    <row r="196" spans="1:6">
      <c r="A196" s="2" t="s">
        <v>2291</v>
      </c>
      <c r="B196" s="2" t="s">
        <v>1208</v>
      </c>
      <c r="C196" s="2" t="s">
        <v>2291</v>
      </c>
      <c r="D196" s="2" t="s">
        <v>1894</v>
      </c>
      <c r="E196" s="2" t="s">
        <v>1223</v>
      </c>
      <c r="F196" s="3" t="s">
        <v>2024</v>
      </c>
    </row>
    <row r="197" spans="1:6">
      <c r="A197" s="2" t="s">
        <v>2292</v>
      </c>
      <c r="B197" s="2" t="s">
        <v>1208</v>
      </c>
      <c r="C197" s="2" t="s">
        <v>2292</v>
      </c>
      <c r="D197" s="2" t="s">
        <v>1901</v>
      </c>
      <c r="E197" s="2" t="s">
        <v>1243</v>
      </c>
      <c r="F197" s="3" t="s">
        <v>2024</v>
      </c>
    </row>
    <row r="198" spans="1:6">
      <c r="A198" s="2" t="s">
        <v>2293</v>
      </c>
      <c r="B198" s="2" t="s">
        <v>1208</v>
      </c>
      <c r="C198" s="2" t="s">
        <v>2293</v>
      </c>
      <c r="D198" s="2" t="s">
        <v>1897</v>
      </c>
      <c r="E198" s="2" t="s">
        <v>1231</v>
      </c>
      <c r="F198" s="3" t="s">
        <v>2024</v>
      </c>
    </row>
    <row r="199" spans="1:6">
      <c r="A199" s="2" t="s">
        <v>2294</v>
      </c>
      <c r="B199" s="2" t="s">
        <v>1208</v>
      </c>
      <c r="C199" s="2" t="s">
        <v>2294</v>
      </c>
      <c r="D199" s="2" t="s">
        <v>1899</v>
      </c>
      <c r="E199" s="2" t="s">
        <v>1237</v>
      </c>
      <c r="F199" s="3" t="s">
        <v>2024</v>
      </c>
    </row>
    <row r="200" spans="1:6">
      <c r="A200" s="2" t="s">
        <v>2295</v>
      </c>
      <c r="B200" s="2" t="s">
        <v>1208</v>
      </c>
      <c r="C200" s="2" t="s">
        <v>2295</v>
      </c>
      <c r="D200" s="2" t="s">
        <v>35</v>
      </c>
      <c r="E200" s="2" t="s">
        <v>35</v>
      </c>
      <c r="F200" s="3" t="s">
        <v>1795</v>
      </c>
    </row>
    <row r="201" spans="1:6">
      <c r="A201" s="2" t="s">
        <v>2296</v>
      </c>
      <c r="B201" s="2" t="s">
        <v>1208</v>
      </c>
      <c r="C201" s="2" t="s">
        <v>2296</v>
      </c>
      <c r="D201" s="2" t="s">
        <v>2004</v>
      </c>
      <c r="E201" s="2" t="s">
        <v>1340</v>
      </c>
      <c r="F201" s="3" t="s">
        <v>2024</v>
      </c>
    </row>
    <row r="202" spans="1:6">
      <c r="A202" s="2" t="s">
        <v>2297</v>
      </c>
      <c r="B202" s="2" t="s">
        <v>1153</v>
      </c>
      <c r="C202" s="2" t="s">
        <v>2297</v>
      </c>
      <c r="D202" s="2" t="s">
        <v>35</v>
      </c>
      <c r="E202" s="2" t="s">
        <v>35</v>
      </c>
      <c r="F202" s="3" t="s">
        <v>1795</v>
      </c>
    </row>
    <row r="203" spans="1:6">
      <c r="A203" s="2" t="s">
        <v>2298</v>
      </c>
      <c r="B203" s="2" t="s">
        <v>1251</v>
      </c>
      <c r="C203" s="2" t="s">
        <v>2298</v>
      </c>
      <c r="D203" s="2" t="s">
        <v>1901</v>
      </c>
      <c r="E203" s="2" t="s">
        <v>1243</v>
      </c>
      <c r="F203" s="3" t="s">
        <v>2024</v>
      </c>
    </row>
    <row r="204" spans="1:6">
      <c r="A204" s="2" t="s">
        <v>2299</v>
      </c>
      <c r="B204" s="2" t="s">
        <v>1251</v>
      </c>
      <c r="C204" s="2" t="s">
        <v>2299</v>
      </c>
      <c r="D204" s="2" t="s">
        <v>1904</v>
      </c>
      <c r="E204" s="2" t="s">
        <v>1250</v>
      </c>
      <c r="F204" s="3" t="s">
        <v>2024</v>
      </c>
    </row>
    <row r="205" spans="1:6">
      <c r="A205" s="2" t="s">
        <v>2300</v>
      </c>
      <c r="B205" s="2" t="s">
        <v>1251</v>
      </c>
      <c r="C205" s="2" t="s">
        <v>2300</v>
      </c>
      <c r="D205" s="2" t="s">
        <v>1906</v>
      </c>
      <c r="E205" s="2" t="s">
        <v>1256</v>
      </c>
      <c r="F205" s="3" t="s">
        <v>2024</v>
      </c>
    </row>
    <row r="206" spans="1:6">
      <c r="A206" s="2" t="s">
        <v>2301</v>
      </c>
      <c r="B206" s="2" t="s">
        <v>1251</v>
      </c>
      <c r="C206" s="2" t="s">
        <v>2301</v>
      </c>
      <c r="D206" s="2" t="s">
        <v>1908</v>
      </c>
      <c r="E206" s="2" t="s">
        <v>1262</v>
      </c>
      <c r="F206" s="3" t="s">
        <v>2024</v>
      </c>
    </row>
    <row r="207" spans="1:6">
      <c r="A207" s="2" t="s">
        <v>2302</v>
      </c>
      <c r="B207" s="2" t="s">
        <v>1251</v>
      </c>
      <c r="C207" s="2" t="s">
        <v>2302</v>
      </c>
      <c r="D207" s="2" t="s">
        <v>1910</v>
      </c>
      <c r="E207" s="2" t="s">
        <v>1267</v>
      </c>
      <c r="F207" s="3" t="s">
        <v>2024</v>
      </c>
    </row>
    <row r="208" spans="1:6">
      <c r="A208" s="2" t="s">
        <v>2303</v>
      </c>
      <c r="B208" s="2" t="s">
        <v>1251</v>
      </c>
      <c r="C208" s="2" t="s">
        <v>2303</v>
      </c>
      <c r="D208" s="2" t="s">
        <v>1912</v>
      </c>
      <c r="E208" s="2" t="s">
        <v>1272</v>
      </c>
      <c r="F208" s="3" t="s">
        <v>2024</v>
      </c>
    </row>
    <row r="209" spans="1:6">
      <c r="A209" s="2" t="s">
        <v>2304</v>
      </c>
      <c r="B209" s="2" t="s">
        <v>1251</v>
      </c>
      <c r="C209" s="2" t="s">
        <v>2304</v>
      </c>
      <c r="D209" s="2" t="s">
        <v>1914</v>
      </c>
      <c r="E209" s="2" t="s">
        <v>1277</v>
      </c>
      <c r="F209" s="3" t="s">
        <v>2024</v>
      </c>
    </row>
    <row r="210" spans="1:6">
      <c r="A210" s="2" t="s">
        <v>2305</v>
      </c>
      <c r="B210" s="2" t="s">
        <v>1251</v>
      </c>
      <c r="C210" s="2" t="s">
        <v>2305</v>
      </c>
      <c r="D210" s="2" t="s">
        <v>1916</v>
      </c>
      <c r="E210" s="2" t="s">
        <v>1282</v>
      </c>
      <c r="F210" s="3" t="s">
        <v>2024</v>
      </c>
    </row>
    <row r="211" spans="1:6">
      <c r="A211" s="2" t="s">
        <v>2306</v>
      </c>
      <c r="B211" s="2" t="s">
        <v>1251</v>
      </c>
      <c r="C211" s="2" t="s">
        <v>2306</v>
      </c>
      <c r="D211" s="2" t="s">
        <v>1918</v>
      </c>
      <c r="E211" s="2" t="s">
        <v>1287</v>
      </c>
      <c r="F211" s="3" t="s">
        <v>2024</v>
      </c>
    </row>
    <row r="212" spans="1:6">
      <c r="A212" s="2" t="s">
        <v>2307</v>
      </c>
      <c r="B212" s="2" t="s">
        <v>1251</v>
      </c>
      <c r="C212" s="2" t="s">
        <v>2307</v>
      </c>
      <c r="D212" s="2" t="s">
        <v>1920</v>
      </c>
      <c r="E212" s="2" t="s">
        <v>1292</v>
      </c>
      <c r="F212" s="3" t="s">
        <v>2024</v>
      </c>
    </row>
    <row r="213" spans="1:6">
      <c r="A213" s="2" t="s">
        <v>2308</v>
      </c>
      <c r="B213" s="2" t="s">
        <v>1251</v>
      </c>
      <c r="C213" s="2" t="s">
        <v>2308</v>
      </c>
      <c r="D213" s="2" t="s">
        <v>1922</v>
      </c>
      <c r="E213" s="2" t="s">
        <v>1297</v>
      </c>
      <c r="F213" s="3" t="s">
        <v>2024</v>
      </c>
    </row>
    <row r="214" spans="1:6">
      <c r="A214" s="2" t="s">
        <v>2309</v>
      </c>
      <c r="B214" s="2" t="s">
        <v>1251</v>
      </c>
      <c r="C214" s="2" t="s">
        <v>2309</v>
      </c>
      <c r="D214" s="2" t="s">
        <v>35</v>
      </c>
      <c r="E214" s="2" t="s">
        <v>35</v>
      </c>
      <c r="F214" s="3" t="s">
        <v>1795</v>
      </c>
    </row>
    <row r="215" spans="1:6">
      <c r="A215" s="2" t="s">
        <v>2310</v>
      </c>
      <c r="B215" s="2" t="s">
        <v>1251</v>
      </c>
      <c r="C215" s="2" t="s">
        <v>2310</v>
      </c>
      <c r="D215" s="2" t="s">
        <v>2006</v>
      </c>
      <c r="E215" s="2" t="s">
        <v>1347</v>
      </c>
      <c r="F215" s="3" t="s">
        <v>2024</v>
      </c>
    </row>
    <row r="216" spans="1:6">
      <c r="A216" s="2" t="s">
        <v>2311</v>
      </c>
      <c r="B216" s="2" t="s">
        <v>1251</v>
      </c>
      <c r="C216" s="2" t="s">
        <v>2311</v>
      </c>
      <c r="D216" s="2" t="s">
        <v>35</v>
      </c>
      <c r="E216" s="2" t="s">
        <v>35</v>
      </c>
      <c r="F216" s="3" t="s">
        <v>1795</v>
      </c>
    </row>
    <row r="217" spans="1:6">
      <c r="A217" s="2" t="s">
        <v>2312</v>
      </c>
      <c r="B217" s="2" t="s">
        <v>1304</v>
      </c>
      <c r="C217" s="2" t="s">
        <v>2312</v>
      </c>
      <c r="D217" s="2" t="s">
        <v>1924</v>
      </c>
      <c r="E217" s="2" t="s">
        <v>1303</v>
      </c>
      <c r="F217" s="3" t="s">
        <v>2024</v>
      </c>
    </row>
    <row r="218" spans="1:6">
      <c r="A218" s="2" t="s">
        <v>2313</v>
      </c>
      <c r="B218" s="2" t="s">
        <v>1304</v>
      </c>
      <c r="C218" s="2" t="s">
        <v>2313</v>
      </c>
      <c r="D218" s="2" t="s">
        <v>1926</v>
      </c>
      <c r="E218" s="2" t="s">
        <v>1312</v>
      </c>
      <c r="F218" s="3" t="s">
        <v>2024</v>
      </c>
    </row>
    <row r="219" spans="1:6">
      <c r="A219" s="2" t="s">
        <v>2314</v>
      </c>
      <c r="B219" s="2" t="s">
        <v>1304</v>
      </c>
      <c r="C219" s="2" t="s">
        <v>2314</v>
      </c>
      <c r="D219" s="2" t="s">
        <v>1894</v>
      </c>
      <c r="E219" s="2" t="s">
        <v>1223</v>
      </c>
      <c r="F219" s="3" t="s">
        <v>2024</v>
      </c>
    </row>
    <row r="220" spans="1:6">
      <c r="A220" s="2" t="s">
        <v>2315</v>
      </c>
      <c r="B220" s="2" t="s">
        <v>1304</v>
      </c>
      <c r="C220" s="2" t="s">
        <v>2315</v>
      </c>
      <c r="D220" s="2" t="s">
        <v>1928</v>
      </c>
      <c r="E220" s="2" t="s">
        <v>1320</v>
      </c>
      <c r="F220" s="3" t="s">
        <v>2024</v>
      </c>
    </row>
    <row r="221" spans="1:6">
      <c r="A221" s="2" t="s">
        <v>2316</v>
      </c>
      <c r="B221" s="2" t="s">
        <v>1304</v>
      </c>
      <c r="C221" s="2" t="s">
        <v>2316</v>
      </c>
      <c r="D221" s="2" t="s">
        <v>1930</v>
      </c>
      <c r="E221" s="2" t="s">
        <v>1327</v>
      </c>
      <c r="F221" s="3" t="s">
        <v>2024</v>
      </c>
    </row>
    <row r="222" spans="1:6">
      <c r="A222" s="2" t="s">
        <v>2317</v>
      </c>
      <c r="B222" s="2" t="s">
        <v>1304</v>
      </c>
      <c r="C222" s="2" t="s">
        <v>2317</v>
      </c>
      <c r="D222" s="2" t="s">
        <v>35</v>
      </c>
      <c r="E222" s="2" t="s">
        <v>35</v>
      </c>
      <c r="F222" s="3" t="s">
        <v>1795</v>
      </c>
    </row>
    <row r="223" spans="1:6">
      <c r="A223" s="2" t="s">
        <v>2318</v>
      </c>
      <c r="B223" s="2" t="s">
        <v>1470</v>
      </c>
      <c r="C223" s="2" t="s">
        <v>2318</v>
      </c>
      <c r="D223" s="2" t="s">
        <v>35</v>
      </c>
      <c r="E223" s="2" t="s">
        <v>35</v>
      </c>
      <c r="F223" s="3" t="s">
        <v>1795</v>
      </c>
    </row>
    <row r="224" spans="1:6">
      <c r="A224" s="2" t="s">
        <v>2319</v>
      </c>
      <c r="B224" s="2" t="s">
        <v>1334</v>
      </c>
      <c r="C224" s="2" t="s">
        <v>2319</v>
      </c>
      <c r="D224" s="2" t="s">
        <v>1932</v>
      </c>
      <c r="E224" s="2" t="s">
        <v>1333</v>
      </c>
      <c r="F224" s="3" t="s">
        <v>2024</v>
      </c>
    </row>
    <row r="225" spans="1:6">
      <c r="A225" s="2" t="s">
        <v>2320</v>
      </c>
      <c r="B225" s="2" t="s">
        <v>1356</v>
      </c>
      <c r="C225" s="2" t="s">
        <v>2320</v>
      </c>
      <c r="D225" s="2" t="s">
        <v>1941</v>
      </c>
      <c r="E225" s="2" t="s">
        <v>1354</v>
      </c>
      <c r="F225" s="3" t="s">
        <v>2024</v>
      </c>
    </row>
    <row r="226" spans="1:6">
      <c r="A226" s="2" t="s">
        <v>2321</v>
      </c>
      <c r="B226" s="2" t="s">
        <v>1356</v>
      </c>
      <c r="C226" s="2" t="s">
        <v>2321</v>
      </c>
      <c r="D226" s="2" t="s">
        <v>1943</v>
      </c>
      <c r="E226" s="2" t="s">
        <v>1363</v>
      </c>
      <c r="F226" s="3" t="s">
        <v>2024</v>
      </c>
    </row>
    <row r="227" spans="1:6">
      <c r="A227" s="2" t="s">
        <v>2322</v>
      </c>
      <c r="B227" s="2" t="s">
        <v>1356</v>
      </c>
      <c r="C227" s="2" t="s">
        <v>2322</v>
      </c>
      <c r="D227" s="2" t="s">
        <v>1945</v>
      </c>
      <c r="E227" s="2" t="s">
        <v>1368</v>
      </c>
      <c r="F227" s="3" t="s">
        <v>2024</v>
      </c>
    </row>
    <row r="228" spans="1:6">
      <c r="A228" s="2" t="s">
        <v>2323</v>
      </c>
      <c r="B228" s="2" t="s">
        <v>1356</v>
      </c>
      <c r="C228" s="2" t="s">
        <v>2323</v>
      </c>
      <c r="D228" s="2" t="s">
        <v>35</v>
      </c>
      <c r="E228" s="2" t="s">
        <v>35</v>
      </c>
      <c r="F228" s="3" t="s">
        <v>1795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Test Cases</vt:lpstr>
      <vt:lpstr>Summary</vt:lpstr>
      <vt:lpstr>RTM</vt:lpstr>
      <vt:lpstr>Conditions</vt:lpstr>
      <vt:lpstr>Clauses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Điệp Hoàng</cp:lastModifiedBy>
  <dcterms:created xsi:type="dcterms:W3CDTF">2026-10-18T10:19:00Z</dcterms:created>
  <dcterms:modified xsi:type="dcterms:W3CDTF">2026-10-21T10:26:04Z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F3BD16067D65440391A6576661E03252_12</vt:lpwstr>
  </property>
  <property fmtid="{D5CDD505-2E9C-101B-9397-08002B2CF9AE}" pid="3" name="KSOProductBuildVer">
    <vt:lpwstr>1033-12.1.0.29162</vt:lpwstr>
  </property>
  <property fmtid="{D5CDD505-2E9C-101B-9397-08002B2CF9AE}" pid="4" name="CalculationRule">
    <vt:i4>0</vt:i4>
  </property>
</Properties>
</file>