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  <sheet name="RTM" sheetId="3" state="visible" r:id="rId3"/>
    <sheet name="Conditions" sheetId="4" state="visible" r:id="rId4"/>
    <sheet name="Clauses" sheetId="5" state="visible" r:id="rId5"/>
  </sheets>
  <definedNames>
    <definedName name="_xlnm._FilterDatabase" localSheetId="0" hidden="1">'Test Cases'!$A$1:$T$19</definedName>
    <definedName name="_xlnm.Print_Titles" localSheetId="0">'Test 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6000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5" customWidth="1" min="4" max="4"/>
    <col width="13" customWidth="1" min="5" max="5"/>
    <col width="11" customWidth="1" min="6" max="6"/>
    <col width="10" customWidth="1" min="7" max="7"/>
    <col width="9" customWidth="1" min="8" max="8"/>
    <col width="35" customWidth="1" min="9" max="9"/>
    <col width="30" customWidth="1" min="10" max="10"/>
    <col width="50" customWidth="1" min="11" max="11"/>
    <col width="50" customWidth="1" min="12" max="12"/>
    <col width="12" customWidth="1" min="13" max="13"/>
    <col width="11" customWidth="1" min="14" max="14"/>
    <col width="30" customWidth="1" min="15" max="15"/>
    <col width="16" customWidth="1" min="16" max="16"/>
    <col width="35" customWidth="1" min="17" max="17"/>
    <col width="12" customWidth="1" min="18" max="18"/>
    <col width="14" customWidth="1" min="19" max="19"/>
    <col width="14" customWidth="1" min="20" max="2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Req_ID</t>
        </is>
      </c>
      <c r="D1" s="1" t="inlineStr">
        <is>
          <t>Title</t>
        </is>
      </c>
      <c r="E1" s="1" t="inlineStr">
        <is>
          <t>Test_Type</t>
        </is>
      </c>
      <c r="F1" s="1" t="inlineStr">
        <is>
          <t>Scenario</t>
        </is>
      </c>
      <c r="G1" s="1" t="inlineStr">
        <is>
          <t>Technique</t>
        </is>
      </c>
      <c r="H1" s="1" t="inlineStr">
        <is>
          <t>Priority</t>
        </is>
      </c>
      <c r="I1" s="1" t="inlineStr">
        <is>
          <t>Preconditions</t>
        </is>
      </c>
      <c r="J1" s="1" t="inlineStr">
        <is>
          <t>Test_Data</t>
        </is>
      </c>
      <c r="K1" s="1" t="inlineStr">
        <is>
          <t>Steps</t>
        </is>
      </c>
      <c r="L1" s="1" t="inlineStr">
        <is>
          <t>Expected_Result</t>
        </is>
      </c>
      <c r="M1" s="1" t="inlineStr">
        <is>
          <t>Automation</t>
        </is>
      </c>
      <c r="N1" s="1" t="inlineStr">
        <is>
          <t>Status</t>
        </is>
      </c>
      <c r="O1" s="1" t="inlineStr">
        <is>
          <t>Notes</t>
        </is>
      </c>
      <c r="P1" s="1" t="inlineStr">
        <is>
          <t>Design_Status</t>
        </is>
      </c>
      <c r="Q1" s="2" t="inlineStr">
        <is>
          <t>Actual_Result</t>
        </is>
      </c>
      <c r="R1" s="2" t="inlineStr">
        <is>
          <t>Bug_ID</t>
        </is>
      </c>
      <c r="S1" s="2" t="inlineStr">
        <is>
          <t>Tester</t>
        </is>
      </c>
      <c r="T1" s="2" t="inlineStr">
        <is>
          <t>Executed_Date</t>
        </is>
      </c>
    </row>
    <row r="2">
      <c r="A2" s="3" t="inlineStr">
        <is>
          <t>TC-LOGIN-001</t>
        </is>
      </c>
      <c r="B2" s="3" t="inlineStr">
        <is>
          <t>Đăng nhập</t>
        </is>
      </c>
      <c r="C2" s="3" t="inlineStr">
        <is>
          <t>FR-01</t>
        </is>
      </c>
      <c r="D2" s="3" t="inlineStr">
        <is>
          <t>Kiểm tra đăng nhập thành công với email và mật khẩu đúng</t>
        </is>
      </c>
      <c r="E2" s="3" t="inlineStr">
        <is>
          <t>Functional</t>
        </is>
      </c>
      <c r="F2" s="3" t="inlineStr">
        <is>
          <t>Positive</t>
        </is>
      </c>
      <c r="G2" s="3" t="inlineStr">
        <is>
          <t>UC</t>
        </is>
      </c>
      <c r="H2" s="4" t="inlineStr">
        <is>
          <t>P1</t>
        </is>
      </c>
      <c r="I2" s="3" t="inlineStr">
        <is>
          <t>1. Theo SETUP-01 (user01@test.com Active, bộ đếm sai = 0)
2. Đang ở màn hình Đăng nhập</t>
        </is>
      </c>
      <c r="J2" s="3" t="inlineStr">
        <is>
          <t>Email: user01@test.com; Mật khẩu: Abc@1234</t>
        </is>
      </c>
      <c r="K2" s="3" t="inlineStr">
        <is>
          <t>1. Nhập email theo Test_Data vào ô "Email"
2. Nhập mật khẩu theo Test_Data vào ô "Mật khẩu"
3. Nhấn nút "Đăng nhập"</t>
        </is>
      </c>
      <c r="L2" s="3" t="inlineStr">
        <is>
          <t>3. Chuyển tới màn hình "Trang chủ"</t>
        </is>
      </c>
      <c r="M2" s="3" t="inlineStr">
        <is>
          <t>Candidate</t>
        </is>
      </c>
      <c r="N2" s="3" t="inlineStr">
        <is>
          <t>Not Run</t>
        </is>
      </c>
      <c r="O2" s="3" t="inlineStr"/>
      <c r="P2" s="3" t="inlineStr">
        <is>
          <t>Ready</t>
        </is>
      </c>
      <c r="Q2" s="3" t="inlineStr"/>
      <c r="R2" s="3" t="inlineStr"/>
      <c r="S2" s="3" t="inlineStr"/>
      <c r="T2" s="3" t="inlineStr"/>
    </row>
    <row r="3">
      <c r="A3" s="3" t="inlineStr">
        <is>
          <t>TC-LOGIN-002</t>
        </is>
      </c>
      <c r="B3" s="3" t="inlineStr">
        <is>
          <t>Đăng nhập</t>
        </is>
      </c>
      <c r="C3" s="3" t="inlineStr">
        <is>
          <t>FR-02</t>
        </is>
      </c>
      <c r="D3" s="3" t="inlineStr">
        <is>
          <t>Kiểm tra hiển thị lỗi khi để trống ô Email</t>
        </is>
      </c>
      <c r="E3" s="3" t="inlineStr">
        <is>
          <t>Validation</t>
        </is>
      </c>
      <c r="F3" s="3" t="inlineStr">
        <is>
          <t>Negative</t>
        </is>
      </c>
      <c r="G3" s="3" t="inlineStr">
        <is>
          <t>EP</t>
        </is>
      </c>
      <c r="H3" s="5" t="inlineStr">
        <is>
          <t>P2</t>
        </is>
      </c>
      <c r="I3" s="3" t="inlineStr">
        <is>
          <t>1. Theo SETUP-01 (user01@test.com Active, bộ đếm sai = 0)
2. Đang ở màn hình Đăng nhập</t>
        </is>
      </c>
      <c r="J3" s="3" t="inlineStr">
        <is>
          <t>Email: (để trống); Mật khẩu: Abc@1234</t>
        </is>
      </c>
      <c r="K3" s="3" t="inlineStr">
        <is>
          <t>1. Nhập email theo Test_Data vào ô "Email"
2. Nhập mật khẩu theo Test_Data vào ô "Mật khẩu"
3. Nhấn nút "Đăng nhập"</t>
        </is>
      </c>
      <c r="L3" s="3" t="inlineStr">
        <is>
          <t>3. Hiển thị lỗi "Email không đúng định dạng"; vẫn ở màn hình Đăng nhập</t>
        </is>
      </c>
      <c r="M3" s="3" t="inlineStr">
        <is>
          <t>Candidate</t>
        </is>
      </c>
      <c r="N3" s="3" t="inlineStr">
        <is>
          <t>Not Run</t>
        </is>
      </c>
      <c r="O3" s="3" t="inlineStr"/>
      <c r="P3" s="3" t="inlineStr">
        <is>
          <t>Ready</t>
        </is>
      </c>
      <c r="Q3" s="3" t="inlineStr"/>
      <c r="R3" s="3" t="inlineStr"/>
      <c r="S3" s="3" t="inlineStr"/>
      <c r="T3" s="3" t="inlineStr"/>
    </row>
    <row r="4">
      <c r="A4" s="3" t="inlineStr">
        <is>
          <t>TC-LOGIN-003</t>
        </is>
      </c>
      <c r="B4" s="3" t="inlineStr">
        <is>
          <t>Đăng nhập</t>
        </is>
      </c>
      <c r="C4" s="3" t="inlineStr">
        <is>
          <t>FR-02</t>
        </is>
      </c>
      <c r="D4" s="3" t="inlineStr">
        <is>
          <t>Kiểm tra hiển thị lỗi khi email thiếu ký tự @</t>
        </is>
      </c>
      <c r="E4" s="3" t="inlineStr">
        <is>
          <t>Validation</t>
        </is>
      </c>
      <c r="F4" s="3" t="inlineStr">
        <is>
          <t>Negative</t>
        </is>
      </c>
      <c r="G4" s="3" t="inlineStr">
        <is>
          <t>EP</t>
        </is>
      </c>
      <c r="H4" s="5" t="inlineStr">
        <is>
          <t>P2</t>
        </is>
      </c>
      <c r="I4" s="3" t="inlineStr">
        <is>
          <t>1. Theo SETUP-01 (user01@test.com Active, bộ đếm sai = 0)
2. Đang ở màn hình Đăng nhập</t>
        </is>
      </c>
      <c r="J4" s="3" t="inlineStr">
        <is>
          <t>Email: user01test.com; Mật khẩu: Abc@1234</t>
        </is>
      </c>
      <c r="K4" s="3" t="inlineStr">
        <is>
          <t>1. Nhập email theo Test_Data vào ô "Email"
2. Nhập mật khẩu theo Test_Data vào ô "Mật khẩu"
3. Nhấn nút "Đăng nhập"</t>
        </is>
      </c>
      <c r="L4" s="3" t="inlineStr">
        <is>
          <t>3. Hiển thị lỗi "Email không đúng định dạng"; vẫn ở màn hình Đăng nhập</t>
        </is>
      </c>
      <c r="M4" s="3" t="inlineStr">
        <is>
          <t>Candidate</t>
        </is>
      </c>
      <c r="N4" s="3" t="inlineStr">
        <is>
          <t>Not Run</t>
        </is>
      </c>
      <c r="O4" s="3" t="inlineStr"/>
      <c r="P4" s="3" t="inlineStr">
        <is>
          <t>Ready</t>
        </is>
      </c>
      <c r="Q4" s="3" t="inlineStr"/>
      <c r="R4" s="3" t="inlineStr"/>
      <c r="S4" s="3" t="inlineStr"/>
      <c r="T4" s="3" t="inlineStr"/>
    </row>
    <row r="5">
      <c r="A5" s="3" t="inlineStr">
        <is>
          <t>TC-LOGIN-004</t>
        </is>
      </c>
      <c r="B5" s="3" t="inlineStr">
        <is>
          <t>Đăng nhập</t>
        </is>
      </c>
      <c r="C5" s="3" t="inlineStr">
        <is>
          <t>FR-03</t>
        </is>
      </c>
      <c r="D5" s="3" t="inlineStr">
        <is>
          <t>Kiểm tra hiển thị lỗi khi để trống ô Mật khẩu</t>
        </is>
      </c>
      <c r="E5" s="3" t="inlineStr">
        <is>
          <t>Validation</t>
        </is>
      </c>
      <c r="F5" s="3" t="inlineStr">
        <is>
          <t>Negative</t>
        </is>
      </c>
      <c r="G5" s="3" t="inlineStr">
        <is>
          <t>EP</t>
        </is>
      </c>
      <c r="H5" s="5" t="inlineStr">
        <is>
          <t>P2</t>
        </is>
      </c>
      <c r="I5" s="3" t="inlineStr">
        <is>
          <t>1. Theo SETUP-01 (user01@test.com Active, bộ đếm sai = 0)
2. Đang ở màn hình Đăng nhập</t>
        </is>
      </c>
      <c r="J5" s="3" t="inlineStr">
        <is>
          <t>Email: user01@test.com; Mật khẩu: (để trống)</t>
        </is>
      </c>
      <c r="K5" s="3" t="inlineStr">
        <is>
          <t>1. Nhập email theo Test_Data vào ô "Email"
2. Nhập mật khẩu theo Test_Data vào ô "Mật khẩu"
3. Nhấn nút "Đăng nhập"</t>
        </is>
      </c>
      <c r="L5" s="3" t="inlineStr">
        <is>
          <t>3. Hiển thị lỗi "Mật khẩu phải từ 8 đến 32 ký tự"; vẫn ở màn hình Đăng nhập</t>
        </is>
      </c>
      <c r="M5" s="3" t="inlineStr">
        <is>
          <t>Candidate</t>
        </is>
      </c>
      <c r="N5" s="3" t="inlineStr">
        <is>
          <t>Not Run</t>
        </is>
      </c>
      <c r="O5" s="3" t="inlineStr"/>
      <c r="P5" s="3" t="inlineStr">
        <is>
          <t>Ready</t>
        </is>
      </c>
      <c r="Q5" s="3" t="inlineStr"/>
      <c r="R5" s="3" t="inlineStr"/>
      <c r="S5" s="3" t="inlineStr"/>
      <c r="T5" s="3" t="inlineStr"/>
    </row>
    <row r="6">
      <c r="A6" s="3" t="inlineStr">
        <is>
          <t>TC-LOGIN-005</t>
        </is>
      </c>
      <c r="B6" s="3" t="inlineStr">
        <is>
          <t>Đăng nhập</t>
        </is>
      </c>
      <c r="C6" s="3" t="inlineStr">
        <is>
          <t>FR-03</t>
        </is>
      </c>
      <c r="D6" s="3" t="inlineStr">
        <is>
          <t>Kiểm tra chặn đăng nhập khi mật khẩu có 7 ký tự (dưới biên min 8)</t>
        </is>
      </c>
      <c r="E6" s="3" t="inlineStr">
        <is>
          <t>Validation</t>
        </is>
      </c>
      <c r="F6" s="3" t="inlineStr">
        <is>
          <t>Boundary</t>
        </is>
      </c>
      <c r="G6" s="3" t="inlineStr">
        <is>
          <t>BVA</t>
        </is>
      </c>
      <c r="H6" s="5" t="inlineStr">
        <is>
          <t>P2</t>
        </is>
      </c>
      <c r="I6" s="3" t="inlineStr">
        <is>
          <t>1. Theo SETUP-01 (user01@test.com Active, bộ đếm sai = 0)
2. Đang ở màn hình Đăng nhập</t>
        </is>
      </c>
      <c r="J6" s="3" t="inlineStr">
        <is>
          <t>Email: user01@test.com; Mật khẩu: Abc@123 (7 ký tự)</t>
        </is>
      </c>
      <c r="K6" s="3" t="inlineStr">
        <is>
          <t>1. Nhập email theo Test_Data vào ô "Email"
2. Nhập mật khẩu theo Test_Data vào ô "Mật khẩu"
3. Nhấn nút "Đăng nhập"</t>
        </is>
      </c>
      <c r="L6" s="3" t="inlineStr">
        <is>
          <t>3. Hiển thị lỗi "Mật khẩu phải từ 8 đến 32 ký tự"; vẫn ở màn hình Đăng nhập</t>
        </is>
      </c>
      <c r="M6" s="3" t="inlineStr">
        <is>
          <t>Candidate</t>
        </is>
      </c>
      <c r="N6" s="3" t="inlineStr">
        <is>
          <t>Not Run</t>
        </is>
      </c>
      <c r="O6" s="3" t="inlineStr"/>
      <c r="P6" s="3" t="inlineStr">
        <is>
          <t>Ready</t>
        </is>
      </c>
      <c r="Q6" s="3" t="inlineStr"/>
      <c r="R6" s="3" t="inlineStr"/>
      <c r="S6" s="3" t="inlineStr"/>
      <c r="T6" s="3" t="inlineStr"/>
    </row>
    <row r="7">
      <c r="A7" s="3" t="inlineStr">
        <is>
          <t>TC-LOGIN-006</t>
        </is>
      </c>
      <c r="B7" s="3" t="inlineStr">
        <is>
          <t>Đăng nhập</t>
        </is>
      </c>
      <c r="C7" s="3" t="inlineStr">
        <is>
          <t>FR-03;FR-01</t>
        </is>
      </c>
      <c r="D7" s="3" t="inlineStr">
        <is>
          <t>Kiểm tra đăng nhập thành công khi mật khẩu có đúng 8 ký tự (biên min)</t>
        </is>
      </c>
      <c r="E7" s="3" t="inlineStr">
        <is>
          <t>Validation</t>
        </is>
      </c>
      <c r="F7" s="3" t="inlineStr">
        <is>
          <t>Boundary</t>
        </is>
      </c>
      <c r="G7" s="3" t="inlineStr">
        <is>
          <t>BVA</t>
        </is>
      </c>
      <c r="H7" s="5" t="inlineStr">
        <is>
          <t>P2</t>
        </is>
      </c>
      <c r="I7" s="3" t="inlineStr">
        <is>
          <t>1. Theo SETUP-02 (tài khoản user08@test.com)
2. Đang ở màn hình Đăng nhập</t>
        </is>
      </c>
      <c r="J7" s="3" t="inlineStr">
        <is>
          <t>Email: user08@test.com; Mật khẩu: Abc@1234 (8 ký tự)</t>
        </is>
      </c>
      <c r="K7" s="3" t="inlineStr">
        <is>
          <t>1. Nhập email theo Test_Data vào ô "Email"
2. Nhập mật khẩu theo Test_Data vào ô "Mật khẩu"
3. Nhấn nút "Đăng nhập"</t>
        </is>
      </c>
      <c r="L7" s="3" t="inlineStr">
        <is>
          <t>3. Chuyển tới màn hình "Trang chủ"</t>
        </is>
      </c>
      <c r="M7" s="3" t="inlineStr">
        <is>
          <t>Candidate</t>
        </is>
      </c>
      <c r="N7" s="3" t="inlineStr">
        <is>
          <t>Not Run</t>
        </is>
      </c>
      <c r="O7" s="3" t="inlineStr"/>
      <c r="P7" s="3" t="inlineStr">
        <is>
          <t>Ready</t>
        </is>
      </c>
      <c r="Q7" s="3" t="inlineStr"/>
      <c r="R7" s="3" t="inlineStr"/>
      <c r="S7" s="3" t="inlineStr"/>
      <c r="T7" s="3" t="inlineStr"/>
    </row>
    <row r="8">
      <c r="A8" s="3" t="inlineStr">
        <is>
          <t>TC-LOGIN-007</t>
        </is>
      </c>
      <c r="B8" s="3" t="inlineStr">
        <is>
          <t>Đăng nhập</t>
        </is>
      </c>
      <c r="C8" s="3" t="inlineStr">
        <is>
          <t>FR-03;FR-01</t>
        </is>
      </c>
      <c r="D8" s="3" t="inlineStr">
        <is>
          <t>Kiểm tra đăng nhập thành công khi mật khẩu có đúng 32 ký tự (biên max)</t>
        </is>
      </c>
      <c r="E8" s="3" t="inlineStr">
        <is>
          <t>Validation</t>
        </is>
      </c>
      <c r="F8" s="3" t="inlineStr">
        <is>
          <t>Boundary</t>
        </is>
      </c>
      <c r="G8" s="3" t="inlineStr">
        <is>
          <t>BVA</t>
        </is>
      </c>
      <c r="H8" s="6" t="inlineStr">
        <is>
          <t>P3</t>
        </is>
      </c>
      <c r="I8" s="3" t="inlineStr">
        <is>
          <t>1. Theo SETUP-02 (tài khoản user32@test.com)
2. Đang ở màn hình Đăng nhập</t>
        </is>
      </c>
      <c r="J8" s="3" t="inlineStr">
        <is>
          <t>Email: user32@test.com; Mật khẩu: Abc@1234Abc@1234Abc@1234Abc@1234 (32 ký tự)</t>
        </is>
      </c>
      <c r="K8" s="3" t="inlineStr">
        <is>
          <t>1. Nhập email theo Test_Data vào ô "Email"
2. Nhập mật khẩu theo Test_Data vào ô "Mật khẩu"
3. Nhấn nút "Đăng nhập"</t>
        </is>
      </c>
      <c r="L8" s="3" t="inlineStr">
        <is>
          <t>3. Chuyển tới màn hình "Trang chủ"</t>
        </is>
      </c>
      <c r="M8" s="3" t="inlineStr">
        <is>
          <t>Candidate</t>
        </is>
      </c>
      <c r="N8" s="3" t="inlineStr">
        <is>
          <t>Not Run</t>
        </is>
      </c>
      <c r="O8" s="3" t="inlineStr"/>
      <c r="P8" s="3" t="inlineStr">
        <is>
          <t>Ready</t>
        </is>
      </c>
      <c r="Q8" s="3" t="inlineStr"/>
      <c r="R8" s="3" t="inlineStr"/>
      <c r="S8" s="3" t="inlineStr"/>
      <c r="T8" s="3" t="inlineStr"/>
    </row>
    <row r="9">
      <c r="A9" s="3" t="inlineStr">
        <is>
          <t>TC-LOGIN-008</t>
        </is>
      </c>
      <c r="B9" s="3" t="inlineStr">
        <is>
          <t>Đăng nhập</t>
        </is>
      </c>
      <c r="C9" s="3" t="inlineStr">
        <is>
          <t>FR-03</t>
        </is>
      </c>
      <c r="D9" s="3" t="inlineStr">
        <is>
          <t>Kiểm tra chặn đăng nhập khi mật khẩu có 33 ký tự (trên biên max 32)</t>
        </is>
      </c>
      <c r="E9" s="3" t="inlineStr">
        <is>
          <t>Validation</t>
        </is>
      </c>
      <c r="F9" s="3" t="inlineStr">
        <is>
          <t>Boundary</t>
        </is>
      </c>
      <c r="G9" s="3" t="inlineStr">
        <is>
          <t>BVA</t>
        </is>
      </c>
      <c r="H9" s="6" t="inlineStr">
        <is>
          <t>P3</t>
        </is>
      </c>
      <c r="I9" s="3" t="inlineStr">
        <is>
          <t>1. Theo SETUP-01 (user01@test.com Active, bộ đếm sai = 0)
2. Đang ở màn hình Đăng nhập</t>
        </is>
      </c>
      <c r="J9" s="3" t="inlineStr">
        <is>
          <t>Email: user01@test.com; Mật khẩu: Abc@1234Abc@1234Abc@1234Abc@12345 (33 ký tự)</t>
        </is>
      </c>
      <c r="K9" s="3" t="inlineStr">
        <is>
          <t>1. Nhập email theo Test_Data vào ô "Email"
2. Nhập mật khẩu theo Test_Data vào ô "Mật khẩu"
3. Nhấn nút "Đăng nhập"</t>
        </is>
      </c>
      <c r="L9" s="3" t="inlineStr">
        <is>
          <t>3. Hiển thị lỗi "Mật khẩu phải từ 8 đến 32 ký tự"; vẫn ở màn hình Đăng nhập</t>
        </is>
      </c>
      <c r="M9" s="3" t="inlineStr">
        <is>
          <t>Candidate</t>
        </is>
      </c>
      <c r="N9" s="3" t="inlineStr">
        <is>
          <t>Not Run</t>
        </is>
      </c>
      <c r="O9" s="3" t="inlineStr"/>
      <c r="P9" s="3" t="inlineStr">
        <is>
          <t>Ready</t>
        </is>
      </c>
      <c r="Q9" s="3" t="inlineStr"/>
      <c r="R9" s="3" t="inlineStr"/>
      <c r="S9" s="3" t="inlineStr"/>
      <c r="T9" s="3" t="inlineStr"/>
    </row>
    <row r="10">
      <c r="A10" s="3" t="inlineStr">
        <is>
          <t>TC-LOGIN-009</t>
        </is>
      </c>
      <c r="B10" s="3" t="inlineStr">
        <is>
          <t>Đăng nhập</t>
        </is>
      </c>
      <c r="C10" s="3" t="inlineStr">
        <is>
          <t>FR-04</t>
        </is>
      </c>
      <c r="D10" s="3" t="inlineStr">
        <is>
          <t>Kiểm tra hiển thị lỗi khi email chưa đăng ký</t>
        </is>
      </c>
      <c r="E10" s="3" t="inlineStr">
        <is>
          <t>Functional</t>
        </is>
      </c>
      <c r="F10" s="3" t="inlineStr">
        <is>
          <t>Negative</t>
        </is>
      </c>
      <c r="G10" s="3" t="inlineStr">
        <is>
          <t>EP</t>
        </is>
      </c>
      <c r="H10" s="5" t="inlineStr">
        <is>
          <t>P2</t>
        </is>
      </c>
      <c r="I10" s="3" t="inlineStr">
        <is>
          <t>1. Theo SETUP-01 (user01@test.com Active, bộ đếm sai = 0)
2. Đang ở màn hình Đăng nhập</t>
        </is>
      </c>
      <c r="J10" s="3" t="inlineStr">
        <is>
          <t>Email: notexist@test.com; Mật khẩu: Abc@1234</t>
        </is>
      </c>
      <c r="K10" s="3" t="inlineStr">
        <is>
          <t>1. Nhập email theo Test_Data vào ô "Email"
2. Nhập mật khẩu theo Test_Data vào ô "Mật khẩu"
3. Nhấn nút "Đăng nhập"</t>
        </is>
      </c>
      <c r="L10" s="3" t="inlineStr">
        <is>
          <t>3. Hiển thị lỗi "Sai email hoặc mật khẩu"; vẫn ở màn hình Đăng nhập</t>
        </is>
      </c>
      <c r="M10" s="3" t="inlineStr">
        <is>
          <t>Candidate</t>
        </is>
      </c>
      <c r="N10" s="3" t="inlineStr">
        <is>
          <t>Not Run</t>
        </is>
      </c>
      <c r="O10" s="3" t="inlineStr"/>
      <c r="P10" s="3" t="inlineStr">
        <is>
          <t>Ready</t>
        </is>
      </c>
      <c r="Q10" s="3" t="inlineStr"/>
      <c r="R10" s="3" t="inlineStr"/>
      <c r="S10" s="3" t="inlineStr"/>
      <c r="T10" s="3" t="inlineStr"/>
    </row>
    <row r="11">
      <c r="A11" s="3" t="inlineStr">
        <is>
          <t>TC-LOGIN-010</t>
        </is>
      </c>
      <c r="B11" s="3" t="inlineStr">
        <is>
          <t>Đăng nhập</t>
        </is>
      </c>
      <c r="C11" s="3" t="inlineStr">
        <is>
          <t>FR-04</t>
        </is>
      </c>
      <c r="D11" s="3" t="inlineStr">
        <is>
          <t>Kiểm tra hiển thị lỗi khi mật khẩu sai với email đã đăng ký</t>
        </is>
      </c>
      <c r="E11" s="3" t="inlineStr">
        <is>
          <t>Functional</t>
        </is>
      </c>
      <c r="F11" s="3" t="inlineStr">
        <is>
          <t>Negative</t>
        </is>
      </c>
      <c r="G11" s="3" t="inlineStr">
        <is>
          <t>EP</t>
        </is>
      </c>
      <c r="H11" s="4" t="inlineStr">
        <is>
          <t>P1</t>
        </is>
      </c>
      <c r="I11" s="3" t="inlineStr">
        <is>
          <t>1. Theo SETUP-01 (user01@test.com Active, bộ đếm sai = 0)
2. Đang ở màn hình Đăng nhập</t>
        </is>
      </c>
      <c r="J11" s="3" t="inlineStr">
        <is>
          <t>Email: user01@test.com; Mật khẩu: Wrong@1234</t>
        </is>
      </c>
      <c r="K11" s="3" t="inlineStr">
        <is>
          <t>1. Nhập email theo Test_Data vào ô "Email"
2. Nhập mật khẩu theo Test_Data vào ô "Mật khẩu"
3. Nhấn nút "Đăng nhập"</t>
        </is>
      </c>
      <c r="L11" s="3" t="inlineStr">
        <is>
          <t>3. Hiển thị lỗi "Sai email hoặc mật khẩu"; vẫn ở màn hình Đăng nhập</t>
        </is>
      </c>
      <c r="M11" s="3" t="inlineStr">
        <is>
          <t>Candidate</t>
        </is>
      </c>
      <c r="N11" s="3" t="inlineStr">
        <is>
          <t>Not Run</t>
        </is>
      </c>
      <c r="O11" s="3" t="inlineStr"/>
      <c r="P11" s="3" t="inlineStr">
        <is>
          <t>Ready</t>
        </is>
      </c>
      <c r="Q11" s="3" t="inlineStr"/>
      <c r="R11" s="3" t="inlineStr"/>
      <c r="S11" s="3" t="inlineStr"/>
      <c r="T11" s="3" t="inlineStr"/>
    </row>
    <row r="12">
      <c r="A12" s="3" t="inlineStr">
        <is>
          <t>TC-LOGIN-011</t>
        </is>
      </c>
      <c r="B12" s="3" t="inlineStr">
        <is>
          <t>Đăng nhập</t>
        </is>
      </c>
      <c r="C12" s="3" t="inlineStr">
        <is>
          <t>FR-05</t>
        </is>
      </c>
      <c r="D12" s="3" t="inlineStr">
        <is>
          <t>Kiểm tra tài khoản chưa bị khoá sau 4 lần sai liên tiếp</t>
        </is>
      </c>
      <c r="E12" s="3" t="inlineStr">
        <is>
          <t>Functional</t>
        </is>
      </c>
      <c r="F12" s="3" t="inlineStr">
        <is>
          <t>Boundary</t>
        </is>
      </c>
      <c r="G12" s="3" t="inlineStr">
        <is>
          <t>ST</t>
        </is>
      </c>
      <c r="H12" s="5" t="inlineStr">
        <is>
          <t>P2</t>
        </is>
      </c>
      <c r="I12" s="3" t="inlineStr">
        <is>
          <t>1. Theo SETUP-01 (user01@test.com Active, bộ đếm sai = 0)
2. Đang ở màn hình Đăng nhập</t>
        </is>
      </c>
      <c r="J12" s="3" t="inlineStr">
        <is>
          <t>Email: user01@test.com; Mật khẩu sai: Wrong@1234; Mật khẩu đúng: Abc@1234</t>
        </is>
      </c>
      <c r="K12" s="3" t="inlineStr">
        <is>
          <t>1. Đăng nhập với mật khẩu sai 4 lần liên tiếp
2. Đăng nhập với mật khẩu đúng</t>
        </is>
      </c>
      <c r="L12" s="3" t="inlineStr">
        <is>
          <t>1. Mỗi lần hiển thị lỗi "Sai email hoặc mật khẩu"
2. Chuyển tới màn hình "Trang chủ"</t>
        </is>
      </c>
      <c r="M12" s="3" t="inlineStr">
        <is>
          <t>Candidate</t>
        </is>
      </c>
      <c r="N12" s="3" t="inlineStr">
        <is>
          <t>Not Run</t>
        </is>
      </c>
      <c r="O12" s="3" t="inlineStr"/>
      <c r="P12" s="3" t="inlineStr">
        <is>
          <t>Ready</t>
        </is>
      </c>
      <c r="Q12" s="3" t="inlineStr"/>
      <c r="R12" s="3" t="inlineStr"/>
      <c r="S12" s="3" t="inlineStr"/>
      <c r="T12" s="3" t="inlineStr"/>
    </row>
    <row r="13">
      <c r="A13" s="3" t="inlineStr">
        <is>
          <t>TC-LOGIN-012</t>
        </is>
      </c>
      <c r="B13" s="3" t="inlineStr">
        <is>
          <t>Đăng nhập</t>
        </is>
      </c>
      <c r="C13" s="3" t="inlineStr">
        <is>
          <t>FR-05</t>
        </is>
      </c>
      <c r="D13" s="3" t="inlineStr">
        <is>
          <t>Kiểm tra khoá tài khoản 15 phút khi sai mật khẩu lần thứ 5 liên tiếp</t>
        </is>
      </c>
      <c r="E13" s="3" t="inlineStr">
        <is>
          <t>Functional</t>
        </is>
      </c>
      <c r="F13" s="3" t="inlineStr">
        <is>
          <t>Boundary</t>
        </is>
      </c>
      <c r="G13" s="3" t="inlineStr">
        <is>
          <t>ST</t>
        </is>
      </c>
      <c r="H13" s="4" t="inlineStr">
        <is>
          <t>P1</t>
        </is>
      </c>
      <c r="I13" s="3" t="inlineStr">
        <is>
          <t>1. Theo SETUP-01 (user01@test.com Active, bộ đếm sai = 0)
2. Đang ở màn hình Đăng nhập</t>
        </is>
      </c>
      <c r="J13" s="3" t="inlineStr">
        <is>
          <t>Email: user01@test.com; Mật khẩu sai: Wrong@1234</t>
        </is>
      </c>
      <c r="K13" s="3" t="inlineStr">
        <is>
          <t>1. Đăng nhập với mật khẩu sai 5 lần liên tiếp</t>
        </is>
      </c>
      <c r="L13" s="3" t="inlineStr">
        <is>
          <t>1. Lần thứ 5 hiển thị thông báo "Tài khoản bị khoá tạm thời"</t>
        </is>
      </c>
      <c r="M13" s="3" t="inlineStr">
        <is>
          <t>Candidate</t>
        </is>
      </c>
      <c r="N13" s="3" t="inlineStr">
        <is>
          <t>Not Run</t>
        </is>
      </c>
      <c r="O13" s="3" t="inlineStr"/>
      <c r="P13" s="3" t="inlineStr">
        <is>
          <t>Ready</t>
        </is>
      </c>
      <c r="Q13" s="3" t="inlineStr"/>
      <c r="R13" s="3" t="inlineStr"/>
      <c r="S13" s="3" t="inlineStr"/>
      <c r="T13" s="3" t="inlineStr"/>
    </row>
    <row r="14">
      <c r="A14" s="3" t="inlineStr">
        <is>
          <t>TC-LOGIN-013</t>
        </is>
      </c>
      <c r="B14" s="3" t="inlineStr">
        <is>
          <t>Đăng nhập</t>
        </is>
      </c>
      <c r="C14" s="3" t="inlineStr">
        <is>
          <t>FR-05</t>
        </is>
      </c>
      <c r="D14" s="3" t="inlineStr">
        <is>
          <t>Kiểm tra chặn đăng nhập bằng mật khẩu đúng khi tài khoản đang bị khoá</t>
        </is>
      </c>
      <c r="E14" s="3" t="inlineStr">
        <is>
          <t>Functional</t>
        </is>
      </c>
      <c r="F14" s="3" t="inlineStr">
        <is>
          <t>Negative</t>
        </is>
      </c>
      <c r="G14" s="3" t="inlineStr">
        <is>
          <t>ST</t>
        </is>
      </c>
      <c r="H14" s="4" t="inlineStr">
        <is>
          <t>P1</t>
        </is>
      </c>
      <c r="I14" s="3" t="inlineStr">
        <is>
          <t>1. Theo SETUP-01, sau đó đăng nhập sai 5 lần liên tiếp để khoá tài khoản; chạy case trong vòng 15 phút kể từ lúc khoá
2. Đang ở màn hình Đăng nhập</t>
        </is>
      </c>
      <c r="J14" s="3" t="inlineStr">
        <is>
          <t>Email: user01@test.com; Mật khẩu: Abc@1234</t>
        </is>
      </c>
      <c r="K14" s="3" t="inlineStr">
        <is>
          <t>1. Nhập email theo Test_Data vào ô "Email"
2. Nhập mật khẩu theo Test_Data vào ô "Mật khẩu"
3. Nhấn nút "Đăng nhập"</t>
        </is>
      </c>
      <c r="L14" s="3" t="inlineStr">
        <is>
          <t>3. Hiển thị thông báo "Tài khoản bị khoá tạm thời"; không vào được Trang chủ</t>
        </is>
      </c>
      <c r="M14" s="3" t="inlineStr">
        <is>
          <t>Candidate</t>
        </is>
      </c>
      <c r="N14" s="3" t="inlineStr">
        <is>
          <t>Not Run</t>
        </is>
      </c>
      <c r="O14" s="3" t="inlineStr"/>
      <c r="P14" s="3" t="inlineStr">
        <is>
          <t>Ready</t>
        </is>
      </c>
      <c r="Q14" s="3" t="inlineStr"/>
      <c r="R14" s="3" t="inlineStr"/>
      <c r="S14" s="3" t="inlineStr"/>
      <c r="T14" s="3" t="inlineStr"/>
    </row>
    <row r="15">
      <c r="A15" s="3" t="inlineStr">
        <is>
          <t>TC-LOGIN-014</t>
        </is>
      </c>
      <c r="B15" s="3" t="inlineStr">
        <is>
          <t>Đăng nhập</t>
        </is>
      </c>
      <c r="C15" s="3" t="inlineStr">
        <is>
          <t>FR-05</t>
        </is>
      </c>
      <c r="D15" s="3" t="inlineStr">
        <is>
          <t>Kiểm tra đăng nhập lại được sau khi hết 15 phút khoá</t>
        </is>
      </c>
      <c r="E15" s="3" t="inlineStr">
        <is>
          <t>Functional</t>
        </is>
      </c>
      <c r="F15" s="3" t="inlineStr">
        <is>
          <t>Positive</t>
        </is>
      </c>
      <c r="G15" s="3" t="inlineStr">
        <is>
          <t>ST</t>
        </is>
      </c>
      <c r="H15" s="5" t="inlineStr">
        <is>
          <t>P2</t>
        </is>
      </c>
      <c r="I15" s="3" t="inlineStr">
        <is>
          <t>1. Theo SETUP-01, sau đó đăng nhập sai 5 lần liên tiếp để khoá tài khoản và chờ 16 phút
2. Đang ở màn hình Đăng nhập</t>
        </is>
      </c>
      <c r="J15" s="3" t="inlineStr">
        <is>
          <t>Email: user01@test.com; Mật khẩu: Abc@1234</t>
        </is>
      </c>
      <c r="K15" s="3" t="inlineStr">
        <is>
          <t>1. Nhập email theo Test_Data vào ô "Email"
2. Nhập mật khẩu theo Test_Data vào ô "Mật khẩu"
3. Nhấn nút "Đăng nhập"</t>
        </is>
      </c>
      <c r="L15" s="3" t="inlineStr">
        <is>
          <t>3. Chuyển tới màn hình "Trang chủ"</t>
        </is>
      </c>
      <c r="M15" s="3" t="inlineStr">
        <is>
          <t>No</t>
        </is>
      </c>
      <c r="N15" s="3" t="inlineStr">
        <is>
          <t>Not Run</t>
        </is>
      </c>
      <c r="O15" s="3" t="inlineStr"/>
      <c r="P15" s="3" t="inlineStr">
        <is>
          <t>Ready</t>
        </is>
      </c>
      <c r="Q15" s="3" t="inlineStr"/>
      <c r="R15" s="3" t="inlineStr"/>
      <c r="S15" s="3" t="inlineStr"/>
      <c r="T15" s="3" t="inlineStr"/>
    </row>
    <row r="16">
      <c r="A16" s="3" t="inlineStr">
        <is>
          <t>TC-LOGIN-015</t>
        </is>
      </c>
      <c r="B16" s="3" t="inlineStr">
        <is>
          <t>Đăng nhập</t>
        </is>
      </c>
      <c r="C16" s="3" t="inlineStr">
        <is>
          <t>FR-05</t>
        </is>
      </c>
      <c r="D16" s="3" t="inlineStr">
        <is>
          <t>Kiểm tra bộ đếm lần sai reset sau khi đăng nhập thành công</t>
        </is>
      </c>
      <c r="E16" s="3" t="inlineStr">
        <is>
          <t>Functional</t>
        </is>
      </c>
      <c r="F16" s="3" t="inlineStr">
        <is>
          <t>Edge</t>
        </is>
      </c>
      <c r="G16" s="3" t="inlineStr">
        <is>
          <t>ST</t>
        </is>
      </c>
      <c r="H16" s="6" t="inlineStr">
        <is>
          <t>P3</t>
        </is>
      </c>
      <c r="I16" s="3" t="inlineStr">
        <is>
          <t>1. Theo SETUP-01 (user01@test.com Active, bộ đếm sai = 0)
2. Đang ở màn hình Đăng nhập</t>
        </is>
      </c>
      <c r="J16" s="3" t="inlineStr">
        <is>
          <t>Email: user01@test.com; Mật khẩu sai: Wrong@1234; Mật khẩu đúng: Abc@1234</t>
        </is>
      </c>
      <c r="K16" s="3" t="inlineStr">
        <is>
          <t>1. Đăng nhập sai 4 lần liên tiếp
2. Đăng nhập đúng, sau đó đăng xuất
3. Đăng nhập sai thêm 1 lần</t>
        </is>
      </c>
      <c r="L16" s="3" t="inlineStr">
        <is>
          <t>3. Hiển thị lỗi "Sai email hoặc mật khẩu"; tài khoản không bị khoá</t>
        </is>
      </c>
      <c r="M16" s="3" t="inlineStr">
        <is>
          <t>Candidate</t>
        </is>
      </c>
      <c r="N16" s="3" t="inlineStr">
        <is>
          <t>Not Run</t>
        </is>
      </c>
      <c r="O16" s="3" t="inlineStr">
        <is>
          <t>[Giả định AS-01] [Cần xác nhận Q-02]</t>
        </is>
      </c>
      <c r="P16" s="7" t="inlineStr">
        <is>
          <t>Needs Clarification (Q-02, AS-01)</t>
        </is>
      </c>
      <c r="Q16" s="3" t="inlineStr"/>
      <c r="R16" s="3" t="inlineStr"/>
      <c r="S16" s="3" t="inlineStr"/>
      <c r="T16" s="3" t="inlineStr"/>
    </row>
    <row r="17">
      <c r="A17" s="3" t="inlineStr">
        <is>
          <t>TC-LOGIN-016</t>
        </is>
      </c>
      <c r="B17" s="3" t="inlineStr">
        <is>
          <t>Đăng nhập</t>
        </is>
      </c>
      <c r="C17" s="3" t="inlineStr">
        <is>
          <t>FR-06</t>
        </is>
      </c>
      <c r="D17" s="3" t="inlineStr">
        <is>
          <t>Kiểm tra chặn đăng nhập với tài khoản trạng thái Inactive</t>
        </is>
      </c>
      <c r="E17" s="3" t="inlineStr">
        <is>
          <t>Functional</t>
        </is>
      </c>
      <c r="F17" s="3" t="inlineStr">
        <is>
          <t>Negative</t>
        </is>
      </c>
      <c r="G17" s="3" t="inlineStr">
        <is>
          <t>ST</t>
        </is>
      </c>
      <c r="H17" s="4" t="inlineStr">
        <is>
          <t>P1</t>
        </is>
      </c>
      <c r="I17" s="3" t="inlineStr">
        <is>
          <t>1. Theo SETUP-02 (tài khoản inactive01@test.com, Inactive)
2. Đang ở màn hình Đăng nhập</t>
        </is>
      </c>
      <c r="J17" s="3" t="inlineStr">
        <is>
          <t>Email: inactive01@test.com; Mật khẩu: Abc@1234</t>
        </is>
      </c>
      <c r="K17" s="3" t="inlineStr">
        <is>
          <t>1. Nhập email theo Test_Data vào ô "Email"
2. Nhập mật khẩu theo Test_Data vào ô "Mật khẩu"
3. Nhấn nút "Đăng nhập"</t>
        </is>
      </c>
      <c r="L17" s="3" t="inlineStr">
        <is>
          <t>3. Không vào được Trang chủ; vẫn ở màn hình Đăng nhập</t>
        </is>
      </c>
      <c r="M17" s="3" t="inlineStr">
        <is>
          <t>Candidate</t>
        </is>
      </c>
      <c r="N17" s="3" t="inlineStr">
        <is>
          <t>Not Run</t>
        </is>
      </c>
      <c r="O17" s="3" t="inlineStr">
        <is>
          <t>Tài liệu không nêu thông điệp lỗi cho Inactive [Cần xác nhận Q-03]</t>
        </is>
      </c>
      <c r="P17" s="7" t="inlineStr">
        <is>
          <t>Needs Clarification (Q-03)</t>
        </is>
      </c>
      <c r="Q17" s="3" t="inlineStr"/>
      <c r="R17" s="3" t="inlineStr"/>
      <c r="S17" s="3" t="inlineStr"/>
      <c r="T17" s="3" t="inlineStr"/>
    </row>
    <row r="18">
      <c r="A18" s="3" t="inlineStr">
        <is>
          <t>TC-LOGIN-017</t>
        </is>
      </c>
      <c r="B18" s="3" t="inlineStr">
        <is>
          <t>Đăng nhập</t>
        </is>
      </c>
      <c r="C18" s="3" t="inlineStr">
        <is>
          <t>IMP-01</t>
        </is>
      </c>
      <c r="D18" s="3" t="inlineStr">
        <is>
          <t>Kiểm tra mật khẩu hiển thị dạng ẩn khi nhập</t>
        </is>
      </c>
      <c r="E18" s="3" t="inlineStr">
        <is>
          <t>UI</t>
        </is>
      </c>
      <c r="F18" s="3" t="inlineStr">
        <is>
          <t>Positive</t>
        </is>
      </c>
      <c r="G18" s="3" t="inlineStr">
        <is>
          <t>CL</t>
        </is>
      </c>
      <c r="H18" s="6" t="inlineStr">
        <is>
          <t>P3</t>
        </is>
      </c>
      <c r="I18" s="3" t="inlineStr">
        <is>
          <t>1. Theo SETUP-01 (user01@test.com Active, bộ đếm sai = 0)
2. Đang ở màn hình Đăng nhập</t>
        </is>
      </c>
      <c r="J18" s="3" t="inlineStr">
        <is>
          <t>Mật khẩu: Abc@1234</t>
        </is>
      </c>
      <c r="K18" s="3" t="inlineStr">
        <is>
          <t>1. Nhập "Abc@1234" vào ô "Mật khẩu"</t>
        </is>
      </c>
      <c r="L18" s="3" t="inlineStr">
        <is>
          <t>1. Ô Mật khẩu hiển thị ký tự ẩn (••••••••), không hiển thị mật khẩu dạng rõ</t>
        </is>
      </c>
      <c r="M18" s="3" t="inlineStr">
        <is>
          <t>No</t>
        </is>
      </c>
      <c r="N18" s="3" t="inlineStr">
        <is>
          <t>Not Run</t>
        </is>
      </c>
      <c r="O18" s="3" t="inlineStr"/>
      <c r="P18" s="7" t="inlineStr">
        <is>
          <t>Needs Clarification (IMP-01)</t>
        </is>
      </c>
      <c r="Q18" s="3" t="inlineStr"/>
      <c r="R18" s="3" t="inlineStr"/>
      <c r="S18" s="3" t="inlineStr"/>
      <c r="T18" s="3" t="inlineStr"/>
    </row>
    <row r="19">
      <c r="A19" s="3" t="inlineStr">
        <is>
          <t>TC-LOGIN-018</t>
        </is>
      </c>
      <c r="B19" s="3" t="inlineStr">
        <is>
          <t>Đăng nhập</t>
        </is>
      </c>
      <c r="C19" s="3" t="inlineStr">
        <is>
          <t>FR-05</t>
        </is>
      </c>
      <c r="D19" s="3" t="inlineStr">
        <is>
          <t>Kiểm tra tài khoản đang bị khoá cũng bị chặn khi đăng nhập từ trình duyệt khác</t>
        </is>
      </c>
      <c r="E19" s="3" t="inlineStr">
        <is>
          <t>Functional</t>
        </is>
      </c>
      <c r="F19" s="3" t="inlineStr">
        <is>
          <t>Negative</t>
        </is>
      </c>
      <c r="G19" s="3" t="inlineStr">
        <is>
          <t>ST</t>
        </is>
      </c>
      <c r="H19" s="5" t="inlineStr">
        <is>
          <t>P2</t>
        </is>
      </c>
      <c r="I19" s="3" t="inlineStr">
        <is>
          <t>1. Theo SETUP-01, sau đó đăng nhập sai 5 lần liên tiếp trên trình duyệt A để khoá tài khoản; chạy case trong vòng 15 phút kể từ lúc khoá
2. Trình duyệt B (chưa từng đăng nhập user01@test.com) đang ở màn hình Đăng nhập</t>
        </is>
      </c>
      <c r="J19" s="3" t="inlineStr">
        <is>
          <t>Email: user01@test.com; Mật khẩu: Abc@1234</t>
        </is>
      </c>
      <c r="K19" s="3" t="inlineStr">
        <is>
          <t>1. Trên trình duyệt B, nhập email theo Test_Data vào ô "Email"
2. Nhập mật khẩu theo Test_Data vào ô "Mật khẩu"
3. Nhấn nút "Đăng nhập"</t>
        </is>
      </c>
      <c r="L19" s="3" t="inlineStr">
        <is>
          <t>3. Hiển thị thông báo "Tài khoản bị khoá tạm thời"; không vào được Trang chủ</t>
        </is>
      </c>
      <c r="M19" s="3" t="inlineStr">
        <is>
          <t>Candidate</t>
        </is>
      </c>
      <c r="N19" s="3" t="inlineStr">
        <is>
          <t>Not Run</t>
        </is>
      </c>
      <c r="O19" s="3" t="inlineStr">
        <is>
          <t>EV-02: khoá áp dụng cho tài khoản, không theo phiên/trình duyệt (FR-05 'khoá tài khoản')</t>
        </is>
      </c>
      <c r="P19" s="3" t="inlineStr">
        <is>
          <t>Ready</t>
        </is>
      </c>
      <c r="Q19" s="3" t="inlineStr"/>
      <c r="R19" s="3" t="inlineStr"/>
      <c r="S19" s="3" t="inlineStr"/>
      <c r="T19" s="3" t="inlineStr"/>
    </row>
  </sheetData>
  <autoFilter ref="A1:T19"/>
  <dataValidations count="6">
    <dataValidation sqref="N2:N519" showDropDown="0" showInputMessage="0" showErrorMessage="0" allowBlank="1" type="list">
      <formula1>"Blocked,Fail,Not Run,Obsolete,Pass,Skipped"</formula1>
    </dataValidation>
    <dataValidation sqref="H2:H519" showDropDown="0" showInputMessage="0" showErrorMessage="0" allowBlank="1" type="list">
      <formula1>"P1,P2,P3,P4"</formula1>
    </dataValidation>
    <dataValidation sqref="F2:F519" showDropDown="0" showInputMessage="0" showErrorMessage="0" allowBlank="1" type="list">
      <formula1>"Boundary,Edge,Negative,Positive"</formula1>
    </dataValidation>
    <dataValidation sqref="E2:E519" showDropDown="0" showInputMessage="0" showErrorMessage="0" allowBlank="1" type="list">
      <formula1>"API,Accessibility,Compatibility,Functional,Integration,Performance,Security,UI,Usability,Validation"</formula1>
    </dataValidation>
    <dataValidation sqref="G2:G519" showDropDown="0" showInputMessage="0" showErrorMessage="0" allowBlank="1" type="list">
      <formula1>"BVA,CL,CRUD,DT,EG,EP,PERM,PW,ST,UC"</formula1>
    </dataValidation>
    <dataValidation sqref="M2:M519" showDropDown="0" showInputMessage="0" showErrorMessage="0" allowBlank="1" type="list">
      <formula1>"Candidate,No,Yes"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8" t="inlineStr">
        <is>
          <t>Tổng hợp — output</t>
        </is>
      </c>
    </row>
    <row r="3">
      <c r="A3" s="9" t="inlineStr">
        <is>
          <t>Status</t>
        </is>
      </c>
      <c r="B3" s="9" t="inlineStr">
        <is>
          <t>Số lượng</t>
        </is>
      </c>
    </row>
    <row r="4">
      <c r="A4" t="inlineStr">
        <is>
          <t>Blocked</t>
        </is>
      </c>
      <c r="B4">
        <f>COUNTIF('Test Cases'!N2:N519,"Blocked")</f>
        <v/>
      </c>
    </row>
    <row r="5">
      <c r="A5" t="inlineStr">
        <is>
          <t>Fail</t>
        </is>
      </c>
      <c r="B5">
        <f>COUNTIF('Test Cases'!N2:N519,"Fail")</f>
        <v/>
      </c>
    </row>
    <row r="6">
      <c r="A6" t="inlineStr">
        <is>
          <t>Not Run</t>
        </is>
      </c>
      <c r="B6">
        <f>COUNTIF('Test Cases'!N2:N519,"Not Run")</f>
        <v/>
      </c>
    </row>
    <row r="7">
      <c r="A7" t="inlineStr">
        <is>
          <t>Obsolete</t>
        </is>
      </c>
      <c r="B7">
        <f>COUNTIF('Test Cases'!N2:N519,"Obsolete")</f>
        <v/>
      </c>
    </row>
    <row r="8">
      <c r="A8" t="inlineStr">
        <is>
          <t>Pass</t>
        </is>
      </c>
      <c r="B8">
        <f>COUNTIF('Test Cases'!N2:N519,"Pass")</f>
        <v/>
      </c>
    </row>
    <row r="9">
      <c r="A9" t="inlineStr">
        <is>
          <t>Skipped</t>
        </is>
      </c>
      <c r="B9">
        <f>COUNTIF('Test Cases'!N2:N519,"Skipped")</f>
        <v/>
      </c>
    </row>
    <row r="11">
      <c r="A11" s="9" t="inlineStr">
        <is>
          <t>Design_Status</t>
        </is>
      </c>
      <c r="B11" s="9" t="inlineStr">
        <is>
          <t>Số lượng</t>
        </is>
      </c>
    </row>
    <row r="12">
      <c r="A12" t="inlineStr">
        <is>
          <t>Ready</t>
        </is>
      </c>
      <c r="B12">
        <f>COUNTIF('Test Cases'!P2:P519,"Ready")</f>
        <v/>
      </c>
    </row>
    <row r="13">
      <c r="A13" t="inlineStr">
        <is>
          <t>Needs Clarification</t>
        </is>
      </c>
      <c r="B13">
        <f>COUNTIF('Test Cases'!P2:P519,"Needs Clarification*")</f>
        <v/>
      </c>
    </row>
    <row r="14">
      <c r="A14" t="inlineStr">
        <is>
          <t>Blocked</t>
        </is>
      </c>
      <c r="B14">
        <f>COUNTIF('Test Cases'!P2:P519,"Blocked*")</f>
        <v/>
      </c>
    </row>
    <row r="15">
      <c r="A15" t="inlineStr">
        <is>
          <t>Obsolete</t>
        </is>
      </c>
      <c r="B15">
        <f>COUNTIF('Test Cases'!P2:P519,"Obsolete")</f>
        <v/>
      </c>
    </row>
    <row r="17">
      <c r="A17" s="9" t="inlineStr">
        <is>
          <t>Priority</t>
        </is>
      </c>
      <c r="B17" s="9" t="inlineStr">
        <is>
          <t>Số lượng</t>
        </is>
      </c>
    </row>
    <row r="18">
      <c r="A18" t="inlineStr">
        <is>
          <t>P1</t>
        </is>
      </c>
      <c r="B18">
        <f>COUNTIF('Test Cases'!H2:H519,"P1")</f>
        <v/>
      </c>
    </row>
    <row r="19">
      <c r="A19" t="inlineStr">
        <is>
          <t>P2</t>
        </is>
      </c>
      <c r="B19">
        <f>COUNTIF('Test Cases'!H2:H519,"P2")</f>
        <v/>
      </c>
    </row>
    <row r="20">
      <c r="A20" t="inlineStr">
        <is>
          <t>P3</t>
        </is>
      </c>
      <c r="B20">
        <f>COUNTIF('Test Cases'!H2:H519,"P3")</f>
        <v/>
      </c>
    </row>
    <row r="22">
      <c r="A22" s="9" t="inlineStr">
        <is>
          <t>Scenario</t>
        </is>
      </c>
      <c r="B22" s="9" t="inlineStr">
        <is>
          <t>Số lượng</t>
        </is>
      </c>
    </row>
    <row r="23">
      <c r="A23" t="inlineStr">
        <is>
          <t>Boundary</t>
        </is>
      </c>
      <c r="B23">
        <f>COUNTIF('Test Cases'!F2:F519,"Boundary")</f>
        <v/>
      </c>
    </row>
    <row r="24">
      <c r="A24" t="inlineStr">
        <is>
          <t>Edge</t>
        </is>
      </c>
      <c r="B24">
        <f>COUNTIF('Test Cases'!F2:F519,"Edge")</f>
        <v/>
      </c>
    </row>
    <row r="25">
      <c r="A25" t="inlineStr">
        <is>
          <t>Negative</t>
        </is>
      </c>
      <c r="B25">
        <f>COUNTIF('Test Cases'!F2:F519,"Negative")</f>
        <v/>
      </c>
    </row>
    <row r="26">
      <c r="A26" t="inlineStr">
        <is>
          <t>Positive</t>
        </is>
      </c>
      <c r="B26">
        <f>COUNTIF('Test Cases'!F2:F519,"Positive")</f>
        <v/>
      </c>
    </row>
    <row r="28">
      <c r="A28" s="9" t="inlineStr">
        <is>
          <t>Test_Type</t>
        </is>
      </c>
      <c r="B28" s="9" t="inlineStr">
        <is>
          <t>Số lượng</t>
        </is>
      </c>
    </row>
    <row r="29">
      <c r="A29" t="inlineStr">
        <is>
          <t>Functional</t>
        </is>
      </c>
      <c r="B29">
        <f>COUNTIF('Test Cases'!E2:E519,"Functional")</f>
        <v/>
      </c>
    </row>
    <row r="30">
      <c r="A30" t="inlineStr">
        <is>
          <t>UI</t>
        </is>
      </c>
      <c r="B30">
        <f>COUNTIF('Test Cases'!E2:E519,"UI")</f>
        <v/>
      </c>
    </row>
    <row r="31">
      <c r="A31" t="inlineStr">
        <is>
          <t>Validation</t>
        </is>
      </c>
      <c r="B31">
        <f>COUNTIF('Test Cases'!E2:E519,"Validation")</f>
        <v/>
      </c>
    </row>
    <row r="33">
      <c r="A33" s="9" t="inlineStr">
        <is>
          <t>Module</t>
        </is>
      </c>
      <c r="B33" s="9" t="inlineStr">
        <is>
          <t>Số lượng</t>
        </is>
      </c>
    </row>
    <row r="34">
      <c r="A34" t="inlineStr">
        <is>
          <t>Đăng nhập</t>
        </is>
      </c>
      <c r="B34">
        <f>COUNTIF('Test Cases'!B2:B519,"Đăng nhập")</f>
        <v/>
      </c>
    </row>
    <row r="36">
      <c r="A36" s="9" t="inlineStr">
        <is>
          <t>Tổng</t>
        </is>
      </c>
      <c r="B36">
        <f>COUNTA('Test Cases'!A2:A519)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8" customWidth="1" min="3" max="3"/>
    <col width="50" customWidth="1" min="4" max="4"/>
    <col width="16" customWidth="1" min="5" max="5"/>
  </cols>
  <sheetData>
    <row r="1">
      <c r="A1" s="1" t="inlineStr">
        <is>
          <t>Req_ID</t>
        </is>
      </c>
      <c r="B1" s="1" t="inlineStr">
        <is>
          <t>Mô tả</t>
        </is>
      </c>
      <c r="C1" s="1" t="inlineStr">
        <is>
          <t>Số TC</t>
        </is>
      </c>
      <c r="D1" s="1" t="inlineStr">
        <is>
          <t>Test cases</t>
        </is>
      </c>
      <c r="E1" s="1" t="inlineStr">
        <is>
          <t>Trạng thái</t>
        </is>
      </c>
    </row>
    <row r="2">
      <c r="A2" s="3" t="inlineStr">
        <is>
          <t>FR-01</t>
        </is>
      </c>
      <c r="B2" s="3" t="inlineStr">
        <is>
          <t>Đăng nhập bằng Email + Mật khẩu, thành công → Trang chủ</t>
        </is>
      </c>
      <c r="C2" s="3" t="n">
        <v>3</v>
      </c>
      <c r="D2" s="3" t="inlineStr">
        <is>
          <t>TC-LOGIN-001, TC-LOGIN-006, TC-LOGIN-007</t>
        </is>
      </c>
      <c r="E2" s="3" t="inlineStr">
        <is>
          <t>Covered</t>
        </is>
      </c>
    </row>
    <row r="3">
      <c r="A3" s="3" t="inlineStr">
        <is>
          <t>FR-02</t>
        </is>
      </c>
      <c r="B3" s="3" t="inlineStr">
        <is>
          <t>Email bắt buộc, đúng định dạng</t>
        </is>
      </c>
      <c r="C3" s="3" t="n">
        <v>2</v>
      </c>
      <c r="D3" s="3" t="inlineStr">
        <is>
          <t>TC-LOGIN-002, TC-LOGIN-003</t>
        </is>
      </c>
      <c r="E3" s="3" t="inlineStr">
        <is>
          <t>Covered</t>
        </is>
      </c>
    </row>
    <row r="4">
      <c r="A4" s="3" t="inlineStr">
        <is>
          <t>FR-03</t>
        </is>
      </c>
      <c r="B4" s="3" t="inlineStr">
        <is>
          <t>Mật khẩu bắt buộc, 8–32 ký tự</t>
        </is>
      </c>
      <c r="C4" s="3" t="n">
        <v>5</v>
      </c>
      <c r="D4" s="3" t="inlineStr">
        <is>
          <t>TC-LOGIN-004, TC-LOGIN-005, TC-LOGIN-006, TC-LOGIN-007, TC-LOGIN-008</t>
        </is>
      </c>
      <c r="E4" s="3" t="inlineStr">
        <is>
          <t>Covered</t>
        </is>
      </c>
    </row>
    <row r="5">
      <c r="A5" s="3" t="inlineStr">
        <is>
          <t>FR-04</t>
        </is>
      </c>
      <c r="B5" s="3" t="inlineStr">
        <is>
          <t>Sai email/mật khẩu → "Sai email hoặc mật khẩu"</t>
        </is>
      </c>
      <c r="C5" s="3" t="n">
        <v>2</v>
      </c>
      <c r="D5" s="3" t="inlineStr">
        <is>
          <t>TC-LOGIN-009, TC-LOGIN-010</t>
        </is>
      </c>
      <c r="E5" s="3" t="inlineStr">
        <is>
          <t>Covered</t>
        </is>
      </c>
    </row>
    <row r="6">
      <c r="A6" s="3" t="inlineStr">
        <is>
          <t>FR-05</t>
        </is>
      </c>
      <c r="B6" s="3" t="inlineStr">
        <is>
          <t>Sai 5 lần liên tiếp → khoá 15 phút</t>
        </is>
      </c>
      <c r="C6" s="3" t="n">
        <v>6</v>
      </c>
      <c r="D6" s="3" t="inlineStr">
        <is>
          <t>TC-LOGIN-011, TC-LOGIN-012, TC-LOGIN-013, TC-LOGIN-014, TC-LOGIN-015, TC-LOGIN-018</t>
        </is>
      </c>
      <c r="E6" s="3" t="inlineStr">
        <is>
          <t>Covered</t>
        </is>
      </c>
    </row>
    <row r="7">
      <c r="A7" s="3" t="inlineStr">
        <is>
          <t>FR-06</t>
        </is>
      </c>
      <c r="B7" s="3" t="inlineStr">
        <is>
          <t>Tài khoản Inactive không được đăng nhập</t>
        </is>
      </c>
      <c r="C7" s="3" t="n">
        <v>1</v>
      </c>
      <c r="D7" s="3" t="inlineStr">
        <is>
          <t>TC-LOGIN-016</t>
        </is>
      </c>
      <c r="E7" s="3" t="inlineStr">
        <is>
          <t>Covered</t>
        </is>
      </c>
    </row>
    <row r="8">
      <c r="A8" s="3" t="inlineStr">
        <is>
          <t>IMP-01</t>
        </is>
      </c>
      <c r="B8" s="3" t="inlineStr">
        <is>
          <t>Mật khẩu hiển thị dạng ẩn khi nhập</t>
        </is>
      </c>
      <c r="C8" s="3" t="n">
        <v>1</v>
      </c>
      <c r="D8" s="3" t="inlineStr">
        <is>
          <t>TC-LOGIN-017</t>
        </is>
      </c>
      <c r="E8" s="3" t="inlineStr">
        <is>
          <t>Covered (IMP chưa xác nhận)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12" customWidth="1" min="4" max="4"/>
    <col width="40" customWidth="1" min="5" max="5"/>
    <col width="16" customWidth="1" min="6" max="6"/>
  </cols>
  <sheetData>
    <row r="1">
      <c r="A1" s="1" t="inlineStr">
        <is>
          <t>Cond_ID</t>
        </is>
      </c>
      <c r="B1" s="1" t="inlineStr">
        <is>
          <t>Req_ID</t>
        </is>
      </c>
      <c r="C1" s="1" t="inlineStr">
        <is>
          <t>Điều kiện kiểm thử</t>
        </is>
      </c>
      <c r="D1" s="1" t="inlineStr">
        <is>
          <t>Kỹ thuật</t>
        </is>
      </c>
      <c r="E1" s="1" t="inlineStr">
        <is>
          <t>Test cases</t>
        </is>
      </c>
      <c r="F1" s="1" t="inlineStr">
        <is>
          <t>Trạng thái</t>
        </is>
      </c>
    </row>
    <row r="2">
      <c r="A2" s="3" t="inlineStr">
        <is>
          <t>CO-01</t>
        </is>
      </c>
      <c r="B2" s="3" t="inlineStr">
        <is>
          <t>FR-01</t>
        </is>
      </c>
      <c r="C2" s="3" t="inlineStr">
        <is>
          <t>Luồng chính: email + mật khẩu đúng → Trang chủ</t>
        </is>
      </c>
      <c r="D2" s="3" t="inlineStr">
        <is>
          <t>UC</t>
        </is>
      </c>
      <c r="E2" s="3" t="inlineStr">
        <is>
          <t>TC-LOGIN-001, TC-LOGIN-006, TC-LOGIN-007</t>
        </is>
      </c>
      <c r="F2" s="3" t="inlineStr">
        <is>
          <t>Covered</t>
        </is>
      </c>
    </row>
    <row r="3">
      <c r="A3" s="3" t="inlineStr">
        <is>
          <t>CO-02</t>
        </is>
      </c>
      <c r="B3" s="3" t="inlineStr">
        <is>
          <t>FR-02</t>
        </is>
      </c>
      <c r="C3" s="3" t="inlineStr">
        <is>
          <t>Email rỗng</t>
        </is>
      </c>
      <c r="D3" s="3" t="inlineStr">
        <is>
          <t>EP</t>
        </is>
      </c>
      <c r="E3" s="3" t="inlineStr">
        <is>
          <t>TC-LOGIN-002</t>
        </is>
      </c>
      <c r="F3" s="3" t="inlineStr">
        <is>
          <t>Covered</t>
        </is>
      </c>
    </row>
    <row r="4">
      <c r="A4" s="3" t="inlineStr">
        <is>
          <t>CO-03</t>
        </is>
      </c>
      <c r="B4" s="3" t="inlineStr">
        <is>
          <t>FR-02</t>
        </is>
      </c>
      <c r="C4" s="3" t="inlineStr">
        <is>
          <t>Email sai định dạng (thiếu @)</t>
        </is>
      </c>
      <c r="D4" s="3" t="inlineStr">
        <is>
          <t>EP</t>
        </is>
      </c>
      <c r="E4" s="3" t="inlineStr">
        <is>
          <t>TC-LOGIN-003</t>
        </is>
      </c>
      <c r="F4" s="3" t="inlineStr">
        <is>
          <t>Covered</t>
        </is>
      </c>
    </row>
    <row r="5">
      <c r="A5" s="3" t="inlineStr">
        <is>
          <t>CO-04</t>
        </is>
      </c>
      <c r="B5" s="3" t="inlineStr">
        <is>
          <t>FR-02</t>
        </is>
      </c>
      <c r="C5" s="3" t="inlineStr">
        <is>
          <t>Email tại biên độ dài tối đa</t>
        </is>
      </c>
      <c r="D5" s="3" t="inlineStr">
        <is>
          <t>BVA</t>
        </is>
      </c>
      <c r="E5" s="3" t="inlineStr"/>
      <c r="F5" s="7" t="inlineStr">
        <is>
          <t>Pending</t>
        </is>
      </c>
    </row>
    <row r="6">
      <c r="A6" s="3" t="inlineStr">
        <is>
          <t>CO-05</t>
        </is>
      </c>
      <c r="B6" s="3" t="inlineStr">
        <is>
          <t>FR-03</t>
        </is>
      </c>
      <c r="C6" s="3" t="inlineStr">
        <is>
          <t>Mật khẩu rỗng</t>
        </is>
      </c>
      <c r="D6" s="3" t="inlineStr">
        <is>
          <t>EP</t>
        </is>
      </c>
      <c r="E6" s="3" t="inlineStr">
        <is>
          <t>TC-LOGIN-004</t>
        </is>
      </c>
      <c r="F6" s="3" t="inlineStr">
        <is>
          <t>Covered</t>
        </is>
      </c>
    </row>
    <row r="7">
      <c r="A7" s="3" t="inlineStr">
        <is>
          <t>CO-06</t>
        </is>
      </c>
      <c r="B7" s="3" t="inlineStr">
        <is>
          <t>FR-03</t>
        </is>
      </c>
      <c r="C7" s="3" t="inlineStr">
        <is>
          <t>Độ dài 7 (dưới min)</t>
        </is>
      </c>
      <c r="D7" s="3" t="inlineStr">
        <is>
          <t>BVA</t>
        </is>
      </c>
      <c r="E7" s="3" t="inlineStr">
        <is>
          <t>TC-LOGIN-005</t>
        </is>
      </c>
      <c r="F7" s="3" t="inlineStr">
        <is>
          <t>Covered</t>
        </is>
      </c>
    </row>
    <row r="8">
      <c r="A8" s="3" t="inlineStr">
        <is>
          <t>CO-07</t>
        </is>
      </c>
      <c r="B8" s="3" t="inlineStr">
        <is>
          <t>FR-03</t>
        </is>
      </c>
      <c r="C8" s="3" t="inlineStr">
        <is>
          <t>Độ dài 8 (min)</t>
        </is>
      </c>
      <c r="D8" s="3" t="inlineStr">
        <is>
          <t>BVA</t>
        </is>
      </c>
      <c r="E8" s="3" t="inlineStr">
        <is>
          <t>TC-LOGIN-006</t>
        </is>
      </c>
      <c r="F8" s="3" t="inlineStr">
        <is>
          <t>Covered</t>
        </is>
      </c>
    </row>
    <row r="9">
      <c r="A9" s="3" t="inlineStr">
        <is>
          <t>CO-08</t>
        </is>
      </c>
      <c r="B9" s="3" t="inlineStr">
        <is>
          <t>FR-03</t>
        </is>
      </c>
      <c r="C9" s="3" t="inlineStr">
        <is>
          <t>Độ dài 32 (max)</t>
        </is>
      </c>
      <c r="D9" s="3" t="inlineStr">
        <is>
          <t>BVA</t>
        </is>
      </c>
      <c r="E9" s="3" t="inlineStr">
        <is>
          <t>TC-LOGIN-007</t>
        </is>
      </c>
      <c r="F9" s="3" t="inlineStr">
        <is>
          <t>Covered</t>
        </is>
      </c>
    </row>
    <row r="10">
      <c r="A10" s="3" t="inlineStr">
        <is>
          <t>CO-09</t>
        </is>
      </c>
      <c r="B10" s="3" t="inlineStr">
        <is>
          <t>FR-03</t>
        </is>
      </c>
      <c r="C10" s="3" t="inlineStr">
        <is>
          <t>Độ dài 33 (trên max)</t>
        </is>
      </c>
      <c r="D10" s="3" t="inlineStr">
        <is>
          <t>BVA</t>
        </is>
      </c>
      <c r="E10" s="3" t="inlineStr">
        <is>
          <t>TC-LOGIN-008</t>
        </is>
      </c>
      <c r="F10" s="3" t="inlineStr">
        <is>
          <t>Covered</t>
        </is>
      </c>
    </row>
    <row r="11">
      <c r="A11" s="3" t="inlineStr">
        <is>
          <t>CO-10</t>
        </is>
      </c>
      <c r="B11" s="3" t="inlineStr">
        <is>
          <t>FR-04</t>
        </is>
      </c>
      <c r="C11" s="3" t="inlineStr">
        <is>
          <t>Email chưa đăng ký</t>
        </is>
      </c>
      <c r="D11" s="3" t="inlineStr">
        <is>
          <t>EP</t>
        </is>
      </c>
      <c r="E11" s="3" t="inlineStr">
        <is>
          <t>TC-LOGIN-009</t>
        </is>
      </c>
      <c r="F11" s="3" t="inlineStr">
        <is>
          <t>Covered</t>
        </is>
      </c>
    </row>
    <row r="12">
      <c r="A12" s="3" t="inlineStr">
        <is>
          <t>CO-11</t>
        </is>
      </c>
      <c r="B12" s="3" t="inlineStr">
        <is>
          <t>FR-04</t>
        </is>
      </c>
      <c r="C12" s="3" t="inlineStr">
        <is>
          <t>Mật khẩu sai với email đã đăng ký</t>
        </is>
      </c>
      <c r="D12" s="3" t="inlineStr">
        <is>
          <t>EP</t>
        </is>
      </c>
      <c r="E12" s="3" t="inlineStr">
        <is>
          <t>TC-LOGIN-010</t>
        </is>
      </c>
      <c r="F12" s="3" t="inlineStr">
        <is>
          <t>Covered</t>
        </is>
      </c>
    </row>
    <row r="13">
      <c r="A13" s="3" t="inlineStr">
        <is>
          <t>CO-12</t>
        </is>
      </c>
      <c r="B13" s="3" t="inlineStr">
        <is>
          <t>FR-05</t>
        </is>
      </c>
      <c r="C13" s="3" t="inlineStr">
        <is>
          <t>Biên 4 lần sai — chưa khoá</t>
        </is>
      </c>
      <c r="D13" s="3" t="inlineStr">
        <is>
          <t>ST</t>
        </is>
      </c>
      <c r="E13" s="3" t="inlineStr">
        <is>
          <t>TC-LOGIN-011</t>
        </is>
      </c>
      <c r="F13" s="3" t="inlineStr">
        <is>
          <t>Covered</t>
        </is>
      </c>
    </row>
    <row r="14">
      <c r="A14" s="3" t="inlineStr">
        <is>
          <t>CO-13</t>
        </is>
      </c>
      <c r="B14" s="3" t="inlineStr">
        <is>
          <t>FR-05</t>
        </is>
      </c>
      <c r="C14" s="3" t="inlineStr">
        <is>
          <t>Active → Locked ở lần sai thứ 5</t>
        </is>
      </c>
      <c r="D14" s="3" t="inlineStr">
        <is>
          <t>ST</t>
        </is>
      </c>
      <c r="E14" s="3" t="inlineStr">
        <is>
          <t>TC-LOGIN-012</t>
        </is>
      </c>
      <c r="F14" s="3" t="inlineStr">
        <is>
          <t>Covered</t>
        </is>
      </c>
    </row>
    <row r="15">
      <c r="A15" s="3" t="inlineStr">
        <is>
          <t>CO-14</t>
        </is>
      </c>
      <c r="B15" s="3" t="inlineStr">
        <is>
          <t>FR-05</t>
        </is>
      </c>
      <c r="C15" s="3" t="inlineStr">
        <is>
          <t>Locked + mật khẩu đúng → vẫn bị chặn</t>
        </is>
      </c>
      <c r="D15" s="3" t="inlineStr">
        <is>
          <t>ST</t>
        </is>
      </c>
      <c r="E15" s="3" t="inlineStr">
        <is>
          <t>TC-LOGIN-013</t>
        </is>
      </c>
      <c r="F15" s="3" t="inlineStr">
        <is>
          <t>Covered</t>
        </is>
      </c>
    </row>
    <row r="16">
      <c r="A16" s="3" t="inlineStr">
        <is>
          <t>CO-15</t>
        </is>
      </c>
      <c r="B16" s="3" t="inlineStr">
        <is>
          <t>FR-05</t>
        </is>
      </c>
      <c r="C16" s="3" t="inlineStr">
        <is>
          <t>Locked → Active sau 15 phút</t>
        </is>
      </c>
      <c r="D16" s="3" t="inlineStr">
        <is>
          <t>ST</t>
        </is>
      </c>
      <c r="E16" s="3" t="inlineStr">
        <is>
          <t>TC-LOGIN-014</t>
        </is>
      </c>
      <c r="F16" s="3" t="inlineStr">
        <is>
          <t>Covered</t>
        </is>
      </c>
    </row>
    <row r="17">
      <c r="A17" s="3" t="inlineStr">
        <is>
          <t>CO-16</t>
        </is>
      </c>
      <c r="B17" s="3" t="inlineStr">
        <is>
          <t>FR-05</t>
        </is>
      </c>
      <c r="C17" s="3" t="inlineStr">
        <is>
          <t>Bộ đếm reset sau đăng nhập thành công</t>
        </is>
      </c>
      <c r="D17" s="3" t="inlineStr">
        <is>
          <t>ST</t>
        </is>
      </c>
      <c r="E17" s="3" t="inlineStr">
        <is>
          <t>TC-LOGIN-015</t>
        </is>
      </c>
      <c r="F17" s="3" t="inlineStr">
        <is>
          <t>Covered</t>
        </is>
      </c>
    </row>
    <row r="18">
      <c r="A18" s="3" t="inlineStr">
        <is>
          <t>CO-17</t>
        </is>
      </c>
      <c r="B18" s="3" t="inlineStr">
        <is>
          <t>FR-06</t>
        </is>
      </c>
      <c r="C18" s="3" t="inlineStr">
        <is>
          <t>Inactive bị chặn đăng nhập</t>
        </is>
      </c>
      <c r="D18" s="3" t="inlineStr">
        <is>
          <t>ST</t>
        </is>
      </c>
      <c r="E18" s="3" t="inlineStr">
        <is>
          <t>TC-LOGIN-016</t>
        </is>
      </c>
      <c r="F18" s="3" t="inlineStr">
        <is>
          <t>Covered</t>
        </is>
      </c>
    </row>
    <row r="19">
      <c r="A19" s="3" t="inlineStr">
        <is>
          <t>CO-18</t>
        </is>
      </c>
      <c r="B19" s="3" t="inlineStr">
        <is>
          <t>IMP-01</t>
        </is>
      </c>
      <c r="C19" s="3" t="inlineStr">
        <is>
          <t>Mật khẩu hiển thị dạng ẩn</t>
        </is>
      </c>
      <c r="D19" s="3" t="inlineStr">
        <is>
          <t>CL</t>
        </is>
      </c>
      <c r="E19" s="3" t="inlineStr">
        <is>
          <t>TC-LOGIN-017</t>
        </is>
      </c>
      <c r="F19" s="3" t="inlineStr">
        <is>
          <t>Covered</t>
        </is>
      </c>
    </row>
    <row r="20">
      <c r="A20" s="3" t="inlineStr">
        <is>
          <t>CO-19</t>
        </is>
      </c>
      <c r="B20" s="3" t="inlineStr">
        <is>
          <t>FR-05</t>
        </is>
      </c>
      <c r="C20" s="3" t="inlineStr">
        <is>
          <t>Khoá áp dụng cho tài khoản trên trình duyệt khác (EV-02)</t>
        </is>
      </c>
      <c r="D20" s="3" t="inlineStr">
        <is>
          <t>ST</t>
        </is>
      </c>
      <c r="E20" s="3" t="inlineStr">
        <is>
          <t>TC-LOGIN-018</t>
        </is>
      </c>
      <c r="F20" s="3" t="inlineStr">
        <is>
          <t>Covered</t>
        </is>
      </c>
    </row>
    <row r="21">
      <c r="A21" s="3" t="inlineStr">
        <is>
          <t>CO-20</t>
        </is>
      </c>
      <c r="B21" s="3" t="inlineStr">
        <is>
          <t>FR-01</t>
        </is>
      </c>
      <c r="C21" s="3" t="inlineStr">
        <is>
          <t>Back / mở lại màn hình Đăng nhập khi đã đăng nhập (EV-03)</t>
        </is>
      </c>
      <c r="D21" s="3" t="inlineStr">
        <is>
          <t>UC</t>
        </is>
      </c>
      <c r="E21" s="3" t="inlineStr"/>
      <c r="F21" s="7" t="inlineStr">
        <is>
          <t>Pending</t>
        </is>
      </c>
    </row>
    <row r="22">
      <c r="A22" s="3" t="inlineStr">
        <is>
          <t>CO-21</t>
        </is>
      </c>
      <c r="B22" s="3" t="inlineStr">
        <is>
          <t>FR-05; FR-06</t>
        </is>
      </c>
      <c r="C22" s="3" t="inlineStr">
        <is>
          <t>Inactive + sai mật khẩu (IX-04)</t>
        </is>
      </c>
      <c r="D22" s="3" t="inlineStr">
        <is>
          <t>ST</t>
        </is>
      </c>
      <c r="E22" s="3" t="inlineStr"/>
      <c r="F22" s="7" t="inlineStr">
        <is>
          <t>Pending</t>
        </is>
      </c>
    </row>
    <row r="23">
      <c r="A23" s="3" t="inlineStr">
        <is>
          <t>CO-22</t>
        </is>
      </c>
      <c r="B23" s="3" t="inlineStr">
        <is>
          <t>FR-05; FR-03</t>
        </is>
      </c>
      <c r="C23" s="3" t="inlineStr">
        <is>
          <t>Lần submit lỗi validate có tính vào bộ đếm (IX-02)</t>
        </is>
      </c>
      <c r="D23" s="3" t="inlineStr">
        <is>
          <t>DT</t>
        </is>
      </c>
      <c r="E23" s="3" t="inlineStr"/>
      <c r="F23" s="7" t="inlineStr">
        <is>
          <t>Pending</t>
        </is>
      </c>
    </row>
    <row r="24">
      <c r="A24" s="3" t="inlineStr">
        <is>
          <t>CO-23</t>
        </is>
      </c>
      <c r="B24" s="3" t="inlineStr">
        <is>
          <t>FR-05; FR-04</t>
        </is>
      </c>
      <c r="C24" s="3" t="inlineStr">
        <is>
          <t>Locked + sai mật khẩu (IX-05)</t>
        </is>
      </c>
      <c r="D24" s="3" t="inlineStr">
        <is>
          <t>ST</t>
        </is>
      </c>
      <c r="E24" s="3" t="inlineStr"/>
      <c r="F24" s="7" t="inlineStr">
        <is>
          <t>Pending</t>
        </is>
      </c>
    </row>
    <row r="25">
      <c r="A25" s="3" t="inlineStr">
        <is>
          <t>CO-24</t>
        </is>
      </c>
      <c r="B25" s="3" t="inlineStr">
        <is>
          <t>FR-05</t>
        </is>
      </c>
      <c r="C25" s="3" t="inlineStr">
        <is>
          <t>Bộ đếm hết hạn theo thời gian</t>
        </is>
      </c>
      <c r="D25" s="3" t="inlineStr">
        <is>
          <t>ST</t>
        </is>
      </c>
      <c r="E25" s="3" t="inlineStr"/>
      <c r="F25" s="7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60" customWidth="1" min="3" max="3"/>
    <col width="18" customWidth="1" min="4" max="4"/>
    <col width="40" customWidth="1" min="5" max="5"/>
    <col width="22" customWidth="1" min="6" max="6"/>
  </cols>
  <sheetData>
    <row r="1">
      <c r="A1" s="1" t="inlineStr">
        <is>
          <t>Clause_ID</t>
        </is>
      </c>
      <c r="B1" s="1" t="inlineStr">
        <is>
          <t>Req_ID</t>
        </is>
      </c>
      <c r="C1" s="1" t="inlineStr">
        <is>
          <t>Mệnh đề</t>
        </is>
      </c>
      <c r="D1" s="1" t="inlineStr">
        <is>
          <t>CO</t>
        </is>
      </c>
      <c r="E1" s="1" t="inlineStr">
        <is>
          <t>Test cases</t>
        </is>
      </c>
      <c r="F1" s="1" t="inlineStr">
        <is>
          <t>Trạng thái</t>
        </is>
      </c>
    </row>
    <row r="2">
      <c r="A2" s="3" t="inlineStr">
        <is>
          <t>FR-01-c1</t>
        </is>
      </c>
      <c r="B2" s="3" t="inlineStr">
        <is>
          <t>FR-01</t>
        </is>
      </c>
      <c r="C2" s="3" t="inlineStr">
        <is>
          <t>FR-01-c1</t>
        </is>
      </c>
      <c r="D2" s="3" t="inlineStr">
        <is>
          <t>CO-01</t>
        </is>
      </c>
      <c r="E2" s="3" t="inlineStr">
        <is>
          <t>TC-LOGIN-001, TC-LOGIN-006, TC-LOGIN-007</t>
        </is>
      </c>
      <c r="F2" s="3" t="inlineStr">
        <is>
          <t>Covered</t>
        </is>
      </c>
    </row>
    <row r="3">
      <c r="A3" s="3" t="inlineStr">
        <is>
          <t>FR-01-c2</t>
        </is>
      </c>
      <c r="B3" s="3" t="inlineStr">
        <is>
          <t>FR-01</t>
        </is>
      </c>
      <c r="C3" s="3" t="inlineStr">
        <is>
          <t>FR-01-c2</t>
        </is>
      </c>
      <c r="D3" s="3" t="inlineStr">
        <is>
          <t>CO-01</t>
        </is>
      </c>
      <c r="E3" s="3" t="inlineStr">
        <is>
          <t>TC-LOGIN-001, TC-LOGIN-006, TC-LOGIN-007</t>
        </is>
      </c>
      <c r="F3" s="3" t="inlineStr">
        <is>
          <t>Covered</t>
        </is>
      </c>
    </row>
    <row r="4">
      <c r="A4" s="3" t="inlineStr">
        <is>
          <t>FR-02-c1</t>
        </is>
      </c>
      <c r="B4" s="3" t="inlineStr">
        <is>
          <t>FR-02</t>
        </is>
      </c>
      <c r="C4" s="3" t="inlineStr">
        <is>
          <t>FR-02-c1</t>
        </is>
      </c>
      <c r="D4" s="3" t="inlineStr">
        <is>
          <t>CO-02</t>
        </is>
      </c>
      <c r="E4" s="3" t="inlineStr">
        <is>
          <t>TC-LOGIN-002</t>
        </is>
      </c>
      <c r="F4" s="3" t="inlineStr">
        <is>
          <t>Covered</t>
        </is>
      </c>
    </row>
    <row r="5">
      <c r="A5" s="3" t="inlineStr">
        <is>
          <t>FR-02-c2</t>
        </is>
      </c>
      <c r="B5" s="3" t="inlineStr">
        <is>
          <t>FR-02</t>
        </is>
      </c>
      <c r="C5" s="3" t="inlineStr">
        <is>
          <t>FR-02-c2</t>
        </is>
      </c>
      <c r="D5" s="3" t="inlineStr">
        <is>
          <t>CO-03; CO-04</t>
        </is>
      </c>
      <c r="E5" s="3" t="inlineStr">
        <is>
          <t>TC-LOGIN-003</t>
        </is>
      </c>
      <c r="F5" s="3" t="inlineStr">
        <is>
          <t>Covered</t>
        </is>
      </c>
    </row>
    <row r="6">
      <c r="A6" s="3" t="inlineStr">
        <is>
          <t>FR-03-c1</t>
        </is>
      </c>
      <c r="B6" s="3" t="inlineStr">
        <is>
          <t>FR-03</t>
        </is>
      </c>
      <c r="C6" s="3" t="inlineStr">
        <is>
          <t>FR-03-c1</t>
        </is>
      </c>
      <c r="D6" s="3" t="inlineStr">
        <is>
          <t>CO-05</t>
        </is>
      </c>
      <c r="E6" s="3" t="inlineStr">
        <is>
          <t>TC-LOGIN-004</t>
        </is>
      </c>
      <c r="F6" s="3" t="inlineStr">
        <is>
          <t>Covered</t>
        </is>
      </c>
    </row>
    <row r="7">
      <c r="A7" s="3" t="inlineStr">
        <is>
          <t>FR-03-c2</t>
        </is>
      </c>
      <c r="B7" s="3" t="inlineStr">
        <is>
          <t>FR-03</t>
        </is>
      </c>
      <c r="C7" s="3" t="inlineStr">
        <is>
          <t>FR-03-c2</t>
        </is>
      </c>
      <c r="D7" s="3" t="inlineStr">
        <is>
          <t>CO-06; CO-07; CO-08; CO-09</t>
        </is>
      </c>
      <c r="E7" s="3" t="inlineStr">
        <is>
          <t>TC-LOGIN-005, TC-LOGIN-006, TC-LOGIN-007, TC-LOGIN-008</t>
        </is>
      </c>
      <c r="F7" s="3" t="inlineStr">
        <is>
          <t>Covered</t>
        </is>
      </c>
    </row>
    <row r="8">
      <c r="A8" s="3" t="inlineStr">
        <is>
          <t>FR-04-c1</t>
        </is>
      </c>
      <c r="B8" s="3" t="inlineStr">
        <is>
          <t>FR-04</t>
        </is>
      </c>
      <c r="C8" s="3" t="inlineStr">
        <is>
          <t>FR-04-c1</t>
        </is>
      </c>
      <c r="D8" s="3" t="inlineStr">
        <is>
          <t>CO-10; CO-11</t>
        </is>
      </c>
      <c r="E8" s="3" t="inlineStr">
        <is>
          <t>TC-LOGIN-009, TC-LOGIN-010</t>
        </is>
      </c>
      <c r="F8" s="3" t="inlineStr">
        <is>
          <t>Covered</t>
        </is>
      </c>
    </row>
    <row r="9">
      <c r="A9" s="3" t="inlineStr">
        <is>
          <t>FR-05-c1</t>
        </is>
      </c>
      <c r="B9" s="3" t="inlineStr">
        <is>
          <t>FR-05</t>
        </is>
      </c>
      <c r="C9" s="3" t="inlineStr">
        <is>
          <t>FR-05-c1</t>
        </is>
      </c>
      <c r="D9" s="3" t="inlineStr">
        <is>
          <t>CO-12; CO-13; CO-19</t>
        </is>
      </c>
      <c r="E9" s="3" t="inlineStr">
        <is>
          <t>TC-LOGIN-011, TC-LOGIN-012, TC-LOGIN-018</t>
        </is>
      </c>
      <c r="F9" s="3" t="inlineStr">
        <is>
          <t>Covered</t>
        </is>
      </c>
    </row>
    <row r="10">
      <c r="A10" s="3" t="inlineStr">
        <is>
          <t>FR-05-c2</t>
        </is>
      </c>
      <c r="B10" s="3" t="inlineStr">
        <is>
          <t>FR-05</t>
        </is>
      </c>
      <c r="C10" s="3" t="inlineStr">
        <is>
          <t>FR-05-c2</t>
        </is>
      </c>
      <c r="D10" s="3" t="inlineStr">
        <is>
          <t>CO-14; CO-15</t>
        </is>
      </c>
      <c r="E10" s="3" t="inlineStr">
        <is>
          <t>TC-LOGIN-013, TC-LOGIN-014</t>
        </is>
      </c>
      <c r="F10" s="3" t="inlineStr">
        <is>
          <t>Covered</t>
        </is>
      </c>
    </row>
    <row r="11">
      <c r="A11" s="3" t="inlineStr">
        <is>
          <t>FR-05-c3</t>
        </is>
      </c>
      <c r="B11" s="3" t="inlineStr">
        <is>
          <t>FR-05</t>
        </is>
      </c>
      <c r="C11" s="3" t="inlineStr">
        <is>
          <t>FR-05-c3</t>
        </is>
      </c>
      <c r="D11" s="3" t="inlineStr">
        <is>
          <t>CO-13</t>
        </is>
      </c>
      <c r="E11" s="3" t="inlineStr">
        <is>
          <t>TC-LOGIN-012</t>
        </is>
      </c>
      <c r="F11" s="3" t="inlineStr">
        <is>
          <t>Covered</t>
        </is>
      </c>
    </row>
    <row r="12">
      <c r="A12" s="3" t="inlineStr">
        <is>
          <t>FR-06-c1</t>
        </is>
      </c>
      <c r="B12" s="3" t="inlineStr">
        <is>
          <t>FR-06</t>
        </is>
      </c>
      <c r="C12" s="3" t="inlineStr">
        <is>
          <t>FR-06-c1</t>
        </is>
      </c>
      <c r="D12" s="3" t="inlineStr">
        <is>
          <t>CO-17</t>
        </is>
      </c>
      <c r="E12" s="3" t="inlineStr">
        <is>
          <t>TC-LOGIN-016</t>
        </is>
      </c>
      <c r="F12" s="7" t="inlineStr">
        <is>
          <t>Covered (oracle tạm)</t>
        </is>
      </c>
    </row>
    <row r="13">
      <c r="A13" s="3" t="inlineStr">
        <is>
          <t>IMP-01-c1</t>
        </is>
      </c>
      <c r="B13" s="3" t="inlineStr">
        <is>
          <t>IMP-01</t>
        </is>
      </c>
      <c r="C13" s="3" t="inlineStr">
        <is>
          <t>IMP-01-c1</t>
        </is>
      </c>
      <c r="D13" s="3" t="inlineStr">
        <is>
          <t>CO-18</t>
        </is>
      </c>
      <c r="E13" s="3" t="inlineStr">
        <is>
          <t>TC-LOGIN-017</t>
        </is>
      </c>
      <c r="F13" s="7" t="inlineStr">
        <is>
          <t>Covered (oracle tạm)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2026-10-16T15:50:46Z</dcterms:created>
  <dcterms:modified xsi:type="dcterms:W3CDTF">2026-10-16T15:50:47Z</dcterms:modified>
</cp:coreProperties>
</file>